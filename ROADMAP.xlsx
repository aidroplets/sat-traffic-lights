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" sheetId="1" state="visible" r:id="rId3"/>
    <sheet name="Legend" sheetId="2" state="visible" r:id="rId4"/>
  </sheets>
  <definedNames>
    <definedName function="false" hidden="true" localSheetId="0" name="_xlnm._FilterDatabase" vbProcedure="false">Roadmap!$A$1:$N$51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<sst xmlns="http://schemas.openxmlformats.org/spreadsheetml/2006/main" count="496" uniqueCount="222">
  <si>
    <t xml:space="preserve">ID</t>
  </si>
  <si>
    <t xml:space="preserve">Feature</t>
  </si>
  <si>
    <t xml:space="preserve">Description</t>
  </si>
  <si>
    <t xml:space="preserve">Category</t>
  </si>
  <si>
    <t xml:space="preserve">Status</t>
  </si>
  <si>
    <t xml:space="preserve">Priority</t>
  </si>
  <si>
    <t xml:space="preserve">Difficulty</t>
  </si>
  <si>
    <t xml:space="preserve">Effort (hrs)</t>
  </si>
  <si>
    <t xml:space="preserve">Impact</t>
  </si>
  <si>
    <t xml:space="preserve">Score</t>
  </si>
  <si>
    <t xml:space="preserve">Owner</t>
  </si>
  <si>
    <t xml:space="preserve">Source</t>
  </si>
  <si>
    <t xml:space="preserve">Notes</t>
  </si>
  <si>
    <t xml:space="preserve">Date added</t>
  </si>
  <si>
    <t xml:space="preserve">F-001</t>
  </si>
  <si>
    <t xml:space="preserve">Score selection with clickable tiers</t>
  </si>
  <si>
    <t xml:space="preserve">Pick a target score (200–800); tier pills (≤500/501–600/601–700/701–800) are tappable shortcuts.</t>
  </si>
  <si>
    <t xml:space="preserve">Core</t>
  </si>
  <si>
    <t xml:space="preserve">Shipped</t>
  </si>
  <si>
    <t xml:space="preserve">P0</t>
  </si>
  <si>
    <t xml:space="preserve">S</t>
  </si>
  <si>
    <t xml:space="preserve">Joshua</t>
  </si>
  <si>
    <t xml:space="preserve">Spec PDF</t>
  </si>
  <si>
    <t xml:space="preserve">F-002</t>
  </si>
  <si>
    <t xml:space="preserve">Tiered question pools</t>
  </si>
  <si>
    <t xml:space="preserve">Test draws from difficulty buckets matching the target score.</t>
  </si>
  <si>
    <t xml:space="preserve">M</t>
  </si>
  <si>
    <t xml:space="preserve">F-003</t>
  </si>
  <si>
    <t xml:space="preserve">30-question test with G/Y/R signal</t>
  </si>
  <si>
    <t xml:space="preserve">Each question gets a green/yellow/red confidence signal — the core of the product.</t>
  </si>
  <si>
    <t xml:space="preserve">L</t>
  </si>
  <si>
    <t xml:space="preserve">F-004</t>
  </si>
  <si>
    <t xml:space="preserve">Live timer + total time</t>
  </si>
  <si>
    <t xml:space="preserve">Sticky-header timer during the test, total time on results.</t>
  </si>
  <si>
    <t xml:space="preserve">P1</t>
  </si>
  <si>
    <t xml:space="preserve">F-005</t>
  </si>
  <si>
    <t xml:space="preserve">Inline error states (no alerts)</t>
  </si>
  <si>
    <t xml:space="preserve">Errors render in the UI rather than blocking modal dialogs.</t>
  </si>
  <si>
    <t xml:space="preserve">Internal</t>
  </si>
  <si>
    <t xml:space="preserve">F-006</t>
  </si>
  <si>
    <t xml:space="preserve">Results bento (Mastery/Correct/Lucky/Review)</t>
  </si>
  <si>
    <t xml:space="preserve">Four-tile breakdown — true mastery vs. lucky vs. to-review.</t>
  </si>
  <si>
    <t xml:space="preserve">F-007</t>
  </si>
  <si>
    <t xml:space="preserve">Walkthrough review with explanations</t>
  </si>
  <si>
    <t xml:space="preserve">Click-through review of every non-mastery question with the explanation.</t>
  </si>
  <si>
    <t xml:space="preserve">F-008</t>
  </si>
  <si>
    <t xml:space="preserve">Share my score (image)</t>
  </si>
  <si>
    <t xml:space="preserve">Generates a 1080×1080 share-card PNG with score + breakdown.</t>
  </si>
  <si>
    <t xml:space="preserve">Growth</t>
  </si>
  <si>
    <t xml:space="preserve">F-009</t>
  </si>
  <si>
    <t xml:space="preserve">Copy review link (URL)</t>
  </si>
  <si>
    <t xml:space="preserve">Encodes the attempt in a URL so you can send a review to a friend.</t>
  </si>
  <si>
    <t xml:space="preserve">F-010</t>
  </si>
  <si>
    <t xml:space="preserve">Save trouble problems → PDF</t>
  </si>
  <si>
    <t xml:space="preserve">Compiles every non-mastery question with explanations into one printable PDF.</t>
  </si>
  <si>
    <t xml:space="preserve">F-011</t>
  </si>
  <si>
    <t xml:space="preserve">History (past attempts)</t>
  </si>
  <si>
    <t xml:space="preserve">Persistent attempt history with open / re-share / delete / export.</t>
  </si>
  <si>
    <t xml:space="preserve">F-012</t>
  </si>
  <si>
    <t xml:space="preserve">Custom tailored test</t>
  </si>
  <si>
    <t xml:space="preserve">Re-test that drills topics from non-mastery items.</t>
  </si>
  <si>
    <t xml:space="preserve">F-013</t>
  </si>
  <si>
    <t xml:space="preserve">Admin dashboard with filters + actions</t>
  </si>
  <si>
    <t xml:space="preserve">Wide table view of every question — filter by state/source/topic, Publish/Unpublish/Edit per row.</t>
  </si>
  <si>
    <t xml:space="preserve">Admin</t>
  </si>
  <si>
    <t xml:space="preserve">F-014</t>
  </si>
  <si>
    <t xml:space="preserve">Question schema + provenance</t>
  </si>
  <si>
    <t xml:space="preserve">state (live/unpublished/needs-review), source (human-curated/ai-generated), uploader email.</t>
  </si>
  <si>
    <t xml:space="preserve">Content</t>
  </si>
  <si>
    <t xml:space="preserve">F-015</t>
  </si>
  <si>
    <t xml:space="preserve">100 AI-generated questions (needs-review)</t>
  </si>
  <si>
    <t xml:space="preserve">Pilot batch in needs-review state, awaiting admin audit before going live.</t>
  </si>
  <si>
    <t xml:space="preserve">F-016</t>
  </si>
  <si>
    <t xml:space="preserve">Magic-link login (email)</t>
  </si>
  <si>
    <t xml:space="preserve">Email-only auth via Resend; HttpOnly signed JWT cookies; 30-day sessions.</t>
  </si>
  <si>
    <t xml:space="preserve">Auth</t>
  </si>
  <si>
    <t xml:space="preserve">F-017</t>
  </si>
  <si>
    <t xml:space="preserve">Roles + admin gating</t>
  </si>
  <si>
    <t xml:space="preserve">user vs. admin roles. Admin allowlist for joshua@sortino.co + mweber0204@gmail.com.</t>
  </si>
  <si>
    <t xml:space="preserve">F-018</t>
  </si>
  <si>
    <t xml:space="preserve">Resend integration + verified domain</t>
  </si>
  <si>
    <t xml:space="preserve">noreply@studysignal.ai sends magic-link emails; rate-limited per email.</t>
  </si>
  <si>
    <t xml:space="preserve">Infra</t>
  </si>
  <si>
    <t xml:space="preserve">F-019</t>
  </si>
  <si>
    <t xml:space="preserve">Mobile-first responsive design</t>
  </si>
  <si>
    <t xml:space="preserve">Safe-area insets, touch baseline, hover-on-touch override, breakpoint ladder.</t>
  </si>
  <si>
    <t xml:space="preserve">F-020</t>
  </si>
  <si>
    <t xml:space="preserve">Auth UI in distinct aesthetic</t>
  </si>
  <si>
    <t xml:space="preserve">Compact centered card with halo glow — visually distinct from test cards.</t>
  </si>
  <si>
    <t xml:space="preserve">F-021</t>
  </si>
  <si>
    <t xml:space="preserve">Ship to studysignal.ai (custom domain)</t>
  </si>
  <si>
    <t xml:space="preserve">Production deploy, DNS at Hover, SSL via Let's Encrypt.</t>
  </si>
  <si>
    <t xml:space="preserve">F-022</t>
  </si>
  <si>
    <t xml:space="preserve">Audit the 100 AI questions</t>
  </si>
  <si>
    <t xml:space="preserve">Manual review pass: for each AI-generated question, verify answer key, promote to live.</t>
  </si>
  <si>
    <t xml:space="preserve">Next up</t>
  </si>
  <si>
    <t xml:space="preserve">Filter admin → needs-review + ai-generated, work through them.</t>
  </si>
  <si>
    <t xml:space="preserve">F-023</t>
  </si>
  <si>
    <t xml:space="preserve">Supabase database setup</t>
  </si>
  <si>
    <t xml:space="preserve">Replace in-memory dev store with Postgres. Run db/001_initial_schema.sql.</t>
  </si>
  <si>
    <t xml:space="preserve">Steps documented in BACKEND-SETUP.md.</t>
  </si>
  <si>
    <t xml:space="preserve">F-024</t>
  </si>
  <si>
    <t xml:space="preserve">Cross-device attempt sync</t>
  </si>
  <si>
    <t xml:space="preserve">Save attempts to Supabase so history follows the user across browsers/devices.</t>
  </si>
  <si>
    <t xml:space="preserve">Depends on Supabase being live (F-023).</t>
  </si>
  <si>
    <t xml:space="preserve">F-025</t>
  </si>
  <si>
    <t xml:space="preserve">Admin allowlist via DB (not code)</t>
  </si>
  <si>
    <t xml:space="preserve">Move ADMIN_EMAILS Set out of source. Admin grants happen via SQL update.</t>
  </si>
  <si>
    <t xml:space="preserve">P2</t>
  </si>
  <si>
    <t xml:space="preserve">Depends on F-023.</t>
  </si>
  <si>
    <t xml:space="preserve">F-026</t>
  </si>
  <si>
    <t xml:space="preserve">Sharper 'Similar problems' tailored test</t>
  </si>
  <si>
    <t xml:space="preserve">Broaden pool to all non-(green-and-correct) items; pick non-identical questions on same topic+difficulty.</t>
  </si>
  <si>
    <t xml:space="preserve">F-027</t>
  </si>
  <si>
    <t xml:space="preserve">Challenge a friend (send a test)</t>
  </si>
  <si>
    <t xml:space="preserve">Encode a fixed test setup in a URL; friend takes the same questions; results comparison.</t>
  </si>
  <si>
    <t xml:space="preserve">F-028</t>
  </si>
  <si>
    <t xml:space="preserve">Public signup flow polish</t>
  </si>
  <si>
    <t xml:space="preserve">Already works; needs onboarding-friendly copy + first-test handholding for non-admin users.</t>
  </si>
  <si>
    <t xml:space="preserve">F-029</t>
  </si>
  <si>
    <t xml:space="preserve">Generate 1000 more AI questions</t>
  </si>
  <si>
    <t xml:space="preserve">Continue batches of 100 with the same self-validation methodology. Full bank target ~1100.</t>
  </si>
  <si>
    <t xml:space="preserve">Backlog</t>
  </si>
  <si>
    <t xml:space="preserve">XL</t>
  </si>
  <si>
    <t xml:space="preserve">User feedback</t>
  </si>
  <si>
    <t xml:space="preserve">Wait for F-022 to validate quality bar first.</t>
  </si>
  <si>
    <t xml:space="preserve">F-030</t>
  </si>
  <si>
    <t xml:space="preserve">Reading + writing sections</t>
  </si>
  <si>
    <t xml:space="preserve">Currently math-only. Add the two verbal sections of the SAT.</t>
  </si>
  <si>
    <t xml:space="preserve">F-031</t>
  </si>
  <si>
    <t xml:space="preserve">ACT mode (separate test format)</t>
  </si>
  <si>
    <t xml:space="preserve">ACT scoring + question pool + section structure.</t>
  </si>
  <si>
    <t xml:space="preserve">F-032</t>
  </si>
  <si>
    <t xml:space="preserve">Practice mode (no timer, no scoring)</t>
  </si>
  <si>
    <t xml:space="preserve">Drill mode for low-pressure repetition.</t>
  </si>
  <si>
    <t xml:space="preserve">F-033</t>
  </si>
  <si>
    <t xml:space="preserve">Adaptive difficulty</t>
  </si>
  <si>
    <t xml:space="preserve">Adjust the pool mid-test based on early-question signals.</t>
  </si>
  <si>
    <t xml:space="preserve">F-034</t>
  </si>
  <si>
    <t xml:space="preserve">Daily streak / habit tracking</t>
  </si>
  <si>
    <t xml:space="preserve">Streak counter, daily reminder, calendar heatmap.</t>
  </si>
  <si>
    <t xml:space="preserve">F-035</t>
  </si>
  <si>
    <t xml:space="preserve">Weekly email digest</t>
  </si>
  <si>
    <t xml:space="preserve">Personalized rundown of weak topics + recommended drills.</t>
  </si>
  <si>
    <t xml:space="preserve">F-036</t>
  </si>
  <si>
    <t xml:space="preserve">Progress visualization over time</t>
  </si>
  <si>
    <t xml:space="preserve">Score trajectory, mastery-by-topic heatmap, time-spent.</t>
  </si>
  <si>
    <t xml:space="preserve">F-037</t>
  </si>
  <si>
    <t xml:space="preserve">Question favoriting + notes</t>
  </si>
  <si>
    <t xml:space="preserve">Star a question; attach a personal note; review favorites later.</t>
  </si>
  <si>
    <t xml:space="preserve">P3</t>
  </si>
  <si>
    <t xml:space="preserve">F-038</t>
  </si>
  <si>
    <t xml:space="preserve">Spaced repetition for missed</t>
  </si>
  <si>
    <t xml:space="preserve">Re-surface missed questions on Leitner-box schedule.</t>
  </si>
  <si>
    <t xml:space="preserve">F-039</t>
  </si>
  <si>
    <t xml:space="preserve">PWA + offline support</t>
  </si>
  <si>
    <t xml:space="preserve">Service worker + manifest. Already responsive — needs caching strategy.</t>
  </si>
  <si>
    <t xml:space="preserve">F-040</t>
  </si>
  <si>
    <t xml:space="preserve">Onboarding tutorial</t>
  </si>
  <si>
    <t xml:space="preserve">First-run walkthrough explaining the green/yellow/red mechanic.</t>
  </si>
  <si>
    <t xml:space="preserve">F-041</t>
  </si>
  <si>
    <t xml:space="preserve">Marketing site</t>
  </si>
  <si>
    <t xml:space="preserve">Public-facing landing page with positioning, screenshots, pricing.</t>
  </si>
  <si>
    <t xml:space="preserve">F-042</t>
  </si>
  <si>
    <t xml:space="preserve">Stripe integration (paid tier)</t>
  </si>
  <si>
    <t xml:space="preserve">Free tier vs. paid (e.g., unlimited tests, advanced stats).</t>
  </si>
  <si>
    <t xml:space="preserve">F-043</t>
  </si>
  <si>
    <t xml:space="preserve">Question stats dashboard</t>
  </si>
  <si>
    <t xml:space="preserve">Admin: cohort-level stats per question — % correct, signal distribution, weak topics.</t>
  </si>
  <si>
    <t xml:space="preserve">F-044</t>
  </si>
  <si>
    <t xml:space="preserve">Bulk import questions</t>
  </si>
  <si>
    <t xml:space="preserve">Admin: paste/upload CSV or JSON to add questions in batch.</t>
  </si>
  <si>
    <t xml:space="preserve">F-045</t>
  </si>
  <si>
    <t xml:space="preserve">Subject-specific scoring breakdown</t>
  </si>
  <si>
    <t xml:space="preserve">Show per-section scoring estimate (math vs. reading vs. writing) on results.</t>
  </si>
  <si>
    <t xml:space="preserve">Depends on F-030.</t>
  </si>
  <si>
    <t xml:space="preserve">F-046</t>
  </si>
  <si>
    <t xml:space="preserve">A/B testing framework</t>
  </si>
  <si>
    <t xml:space="preserve">Feature-flag system + cohort assignment for product experiments.</t>
  </si>
  <si>
    <t xml:space="preserve">F-047</t>
  </si>
  <si>
    <t xml:space="preserve">Comparison to peers</t>
  </si>
  <si>
    <t xml:space="preserve">Cohort percentile + benchmark scores from anonymized aggregate.</t>
  </si>
  <si>
    <t xml:space="preserve">Future</t>
  </si>
  <si>
    <t xml:space="preserve">Idea</t>
  </si>
  <si>
    <t xml:space="preserve">F-048</t>
  </si>
  <si>
    <t xml:space="preserve">Tutor mode (AI help)</t>
  </si>
  <si>
    <t xml:space="preserve">Embedded AI tutor — explain stuck problems, generate hints.</t>
  </si>
  <si>
    <t xml:space="preserve">F-049</t>
  </si>
  <si>
    <t xml:space="preserve">Class / teacher dashboard</t>
  </si>
  <si>
    <t xml:space="preserve">Teachers create cohorts, assign tests, see aggregate progress.</t>
  </si>
  <si>
    <t xml:space="preserve">F-050</t>
  </si>
  <si>
    <t xml:space="preserve">Native mobile app</t>
  </si>
  <si>
    <t xml:space="preserve">iOS + Android wrappers — push notifications, deep links, App Store presence.</t>
  </si>
  <si>
    <t xml:space="preserve">PWA (F-039) likely covers 80% of value at 10% of cost.</t>
  </si>
  <si>
    <t xml:space="preserve">Roadmap legend</t>
  </si>
  <si>
    <t xml:space="preserve">Built and live on studysignal.ai.</t>
  </si>
  <si>
    <t xml:space="preserve">Committed for the next batch of work.</t>
  </si>
  <si>
    <t xml:space="preserve">Known-want, no immediate timeline.</t>
  </si>
  <si>
    <t xml:space="preserve">Speculative — not committed.</t>
  </si>
  <si>
    <t xml:space="preserve">Blocked</t>
  </si>
  <si>
    <t xml:space="preserve">Needs a decision or upstream work.</t>
  </si>
  <si>
    <t xml:space="preserve">Critical — ship immediately.</t>
  </si>
  <si>
    <t xml:space="preserve">High — within next batch.</t>
  </si>
  <si>
    <t xml:space="preserve">Medium — known-want, no urgency.</t>
  </si>
  <si>
    <t xml:space="preserve">Low — nice to have.</t>
  </si>
  <si>
    <t xml:space="preserve">XS</t>
  </si>
  <si>
    <t xml:space="preserve">Less than 1 hour.</t>
  </si>
  <si>
    <t xml:space="preserve">Less than 4 hours.</t>
  </si>
  <si>
    <t xml:space="preserve">Less than 1 day.</t>
  </si>
  <si>
    <t xml:space="preserve">Multi-day, single chunk of work.</t>
  </si>
  <si>
    <t xml:space="preserve">A week or more, often multiple parts.</t>
  </si>
  <si>
    <t xml:space="preserve">The actual study experience.</t>
  </si>
  <si>
    <t xml:space="preserve">Question pipeline + bank.</t>
  </si>
  <si>
    <t xml:space="preserve">Internal admin tooling.</t>
  </si>
  <si>
    <t xml:space="preserve">Sign-in, accounts, roles.</t>
  </si>
  <si>
    <t xml:space="preserve">Backend, deployment, ops.</t>
  </si>
  <si>
    <t xml:space="preserve">Marketing, sharing, retention.</t>
  </si>
  <si>
    <t xml:space="preserve">Speculative, longer-term.</t>
  </si>
  <si>
    <t xml:space="preserve">Formula</t>
  </si>
  <si>
    <t xml:space="preserve">Impact × difficulty-bonus (XS=6 → XL=2). Higher = ship-sooner candidate.</t>
  </si>
  <si>
    <t xml:space="preserve">Range</t>
  </si>
  <si>
    <t xml:space="preserve">1–30. Use as a sort key, not a hard rule.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</si>
</sst>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D0E18"/>
      <name val="Arial"/>
      <family val="0"/>
      <charset val="1"/>
    </font>
    <font>
      <sz val="10"/>
      <color rgb="FFF0F2F7"/>
      <name val="Arial"/>
      <family val="0"/>
      <charset val="1"/>
    </font>
    <font>
      <b val="true"/>
      <sz val="14"/>
      <color rgb="FFF0F2F7"/>
      <name val="Arial"/>
      <family val="0"/>
      <charset val="1"/>
    </font>
    <font>
      <b val="true"/>
      <sz val="11"/>
      <color rgb="FF8B86FF"/>
      <name val="Arial"/>
      <family val="0"/>
      <charset val="1"/>
    </font>
    <font>
      <b val="true"/>
      <sz val="10"/>
      <color rgb="FFF0F2F7"/>
      <name val="Arial"/>
      <family val="0"/>
      <charset val="1"/>
    </font>
    <font>
      <sz val="10"/>
      <color rgb="FFA8B0C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8B86FF"/>
        <bgColor rgb="FF969696"/>
      </patternFill>
    </fill>
    <fill>
      <patternFill patternType="solid">
        <fgColor rgb="FF12131C"/>
        <bgColor rgb="FF0D0E18"/>
      </patternFill>
    </fill>
    <fill>
      <patternFill patternType="solid">
        <fgColor rgb="FF0D0E18"/>
        <bgColor rgb="FF12131C"/>
      </patternFill>
    </fill>
    <fill>
      <patternFill patternType="solid">
        <fgColor rgb="FF1F1D3A"/>
        <bgColor rgb="FF2A203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0D0E1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0D0E18"/>
          <bgColor rgb="FF000000"/>
        </patternFill>
      </fill>
    </dxf>
    <dxf>
      <fill>
        <patternFill patternType="solid">
          <fgColor rgb="FF12131C"/>
          <bgColor rgb="FF000000"/>
        </patternFill>
      </fill>
    </dxf>
    <dxf>
      <fill>
        <patternFill patternType="solid">
          <fgColor rgb="FF8B86FF"/>
          <bgColor rgb="FF000000"/>
        </patternFill>
      </fill>
    </dxf>
    <dxf>
      <fill>
        <patternFill patternType="solid">
          <fgColor rgb="FFF0F2F7"/>
          <bgColor rgb="FF000000"/>
        </patternFill>
      </fill>
    </dxf>
    <dxf>
      <fill>
        <patternFill patternType="solid">
          <fgColor rgb="FF1A3A5C"/>
          <bgColor rgb="FF000000"/>
        </patternFill>
      </fill>
    </dxf>
    <dxf>
      <fill>
        <patternFill patternType="solid">
          <fgColor rgb="FF1A4D2E"/>
          <bgColor rgb="FF000000"/>
        </patternFill>
      </fill>
    </dxf>
    <dxf>
      <fill>
        <patternFill patternType="solid">
          <fgColor rgb="FF2A2030"/>
          <bgColor rgb="FF000000"/>
        </patternFill>
      </fill>
    </dxf>
    <dxf>
      <fill>
        <patternFill patternType="solid">
          <fgColor rgb="FF3A3D4A"/>
          <bgColor rgb="FF000000"/>
        </patternFill>
      </fill>
    </dxf>
    <dxf>
      <fill>
        <patternFill patternType="solid">
          <fgColor rgb="FFA8B0C4"/>
          <bgColor rgb="FF000000"/>
        </patternFill>
      </fill>
    </dxf>
    <dxf>
      <fill>
        <patternFill patternType="solid">
          <fgColor rgb="FF2A2A30"/>
          <bgColor rgb="FF000000"/>
        </patternFill>
      </fill>
    </dxf>
    <dxf>
      <fill>
        <patternFill patternType="solid">
          <fgColor rgb="FF5C1A1A"/>
          <bgColor rgb="FF000000"/>
        </patternFill>
      </fill>
    </dxf>
    <dxf>
      <fill>
        <patternFill patternType="solid">
          <fgColor rgb="FF5C3E1A"/>
          <bgColor rgb="FF000000"/>
        </patternFill>
      </fill>
    </dxf>
    <dxf>
      <font>
        <name val="Arial"/>
        <charset val="1"/>
        <family val="0"/>
        <b val="1"/>
        <color rgb="FFF0F2F7"/>
        <sz val="10"/>
      </font>
      <fill>
        <patternFill>
          <bgColor rgb="FF1A4D2E"/>
        </patternFill>
      </fill>
    </dxf>
    <dxf>
      <font>
        <name val="Arial"/>
        <charset val="1"/>
        <family val="0"/>
        <b val="1"/>
        <color rgb="FFF0F2F7"/>
        <sz val="10"/>
      </font>
      <fill>
        <patternFill>
          <bgColor rgb="FF1A3A5C"/>
        </patternFill>
      </fill>
    </dxf>
    <dxf>
      <font>
        <name val="Arial"/>
        <charset val="1"/>
        <family val="0"/>
        <b val="1"/>
        <color rgb="FFA8B0C4"/>
        <sz val="10"/>
      </font>
      <fill>
        <patternFill>
          <bgColor rgb="FF3A3D4A"/>
        </patternFill>
      </fill>
    </dxf>
    <dxf>
      <font>
        <name val="Arial"/>
        <charset val="1"/>
        <family val="0"/>
        <b val="1"/>
        <color rgb="FFA8B0C4"/>
        <sz val="10"/>
      </font>
      <fill>
        <patternFill>
          <bgColor rgb="FF2A2030"/>
        </patternFill>
      </fill>
    </dxf>
    <dxf>
      <font>
        <name val="Arial"/>
        <charset val="1"/>
        <family val="0"/>
        <b val="1"/>
        <color rgb="FFF0F2F7"/>
        <sz val="10"/>
      </font>
      <fill>
        <patternFill>
          <bgColor rgb="FF5C1A1A"/>
        </patternFill>
      </fill>
    </dxf>
    <dxf>
      <font>
        <name val="Arial"/>
        <charset val="1"/>
        <family val="0"/>
        <b val="1"/>
        <color rgb="FFF0F2F7"/>
        <sz val="10"/>
      </font>
      <fill>
        <patternFill>
          <bgColor rgb="FF5C3E1A"/>
        </patternFill>
      </fill>
    </dxf>
    <dxf>
      <font>
        <name val="Arial"/>
        <charset val="1"/>
        <family val="0"/>
        <b val="1"/>
        <color rgb="FFA8B0C4"/>
        <sz val="10"/>
      </font>
      <fill>
        <patternFill>
          <bgColor rgb="FF2A2A30"/>
        </patternFill>
      </fill>
    </dxf>
  </dxfs>
  <colors>
    <indexedColors>
      <rgbColor rgb="FF000000"/>
      <rgbColor rgb="FFF0F2F7"/>
      <rgbColor rgb="FFFF0000"/>
      <rgbColor rgb="FF00FF00"/>
      <rgbColor rgb="FF0000FF"/>
      <rgbColor rgb="FFFFFF00"/>
      <rgbColor rgb="FFFF00FF"/>
      <rgbColor rgb="FF00FFFF"/>
      <rgbColor rgb="FF5C1A1A"/>
      <rgbColor rgb="FF1A4D2E"/>
      <rgbColor rgb="FF1F1D3A"/>
      <rgbColor rgb="FF808000"/>
      <rgbColor rgb="FF800080"/>
      <rgbColor rgb="FF008080"/>
      <rgbColor rgb="FFA8B0C4"/>
      <rgbColor rgb="FF808080"/>
      <rgbColor rgb="FF8B86FF"/>
      <rgbColor rgb="FF993366"/>
      <rgbColor rgb="FFFFFFCC"/>
      <rgbColor rgb="FFCCFFFF"/>
      <rgbColor rgb="FF660066"/>
      <rgbColor rgb="FFFF8080"/>
      <rgbColor rgb="FF0066CC"/>
      <rgbColor rgb="FFCCCCFF"/>
      <rgbColor rgb="FF0D0E18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A5C"/>
      <rgbColor rgb="FF339966"/>
      <rgbColor rgb="FF12131C"/>
      <rgbColor rgb="FF2A2030"/>
      <rgbColor rgb="FF5C3E1A"/>
      <rgbColor rgb="FF993366"/>
      <rgbColor rgb="FF3A3D4A"/>
      <rgbColor rgb="FF2A2A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56"/>
    <col collapsed="false" customWidth="true" hidden="false" outlineLevel="0" max="5" min="4" style="0" width="12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36"/>
    <col collapsed="false" customWidth="true" hidden="false" outlineLevel="0" max="14" min="14" style="0" width="13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37.5" hidden="false" customHeight="tru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n">
        <v>4</v>
      </c>
      <c r="I2" s="2" t="n">
        <v>4</v>
      </c>
      <c r="J2" s="3" t="n">
        <f aca="false">IFERROR(I2*CHOOSE(MATCH(G2,{"XS","S","M","L","XL"},0),6,5,4,3,2),"")</f>
        <v>20</v>
      </c>
      <c r="K2" s="2" t="s">
        <v>21</v>
      </c>
      <c r="L2" s="2" t="s">
        <v>22</v>
      </c>
      <c r="M2" s="2"/>
      <c r="N2" s="4" t="n">
        <v>46141</v>
      </c>
    </row>
    <row r="3" customFormat="false" ht="37.5" hidden="false" customHeight="true" outlineLevel="0" collapsed="false">
      <c r="A3" s="5" t="s">
        <v>23</v>
      </c>
      <c r="B3" s="5" t="s">
        <v>24</v>
      </c>
      <c r="C3" s="5" t="s">
        <v>25</v>
      </c>
      <c r="D3" s="5" t="s">
        <v>17</v>
      </c>
      <c r="E3" s="5" t="s">
        <v>18</v>
      </c>
      <c r="F3" s="5" t="s">
        <v>19</v>
      </c>
      <c r="G3" s="5" t="s">
        <v>26</v>
      </c>
      <c r="H3" s="5" t="n">
        <v>4</v>
      </c>
      <c r="I3" s="5" t="n">
        <v>5</v>
      </c>
      <c r="J3" s="6" t="n">
        <f aca="false">IFERROR(I3*CHOOSE(MATCH(G3,{"XS","S","M","L","XL"},0),6,5,4,3,2),"")</f>
        <v>20</v>
      </c>
      <c r="K3" s="5" t="s">
        <v>21</v>
      </c>
      <c r="L3" s="5" t="s">
        <v>22</v>
      </c>
      <c r="M3" s="5"/>
      <c r="N3" s="7" t="n">
        <v>46141</v>
      </c>
    </row>
    <row r="4" customFormat="false" ht="37.5" hidden="false" customHeight="true" outlineLevel="0" collapsed="false">
      <c r="A4" s="2" t="s">
        <v>27</v>
      </c>
      <c r="B4" s="2" t="s">
        <v>28</v>
      </c>
      <c r="C4" s="2" t="s">
        <v>29</v>
      </c>
      <c r="D4" s="2" t="s">
        <v>17</v>
      </c>
      <c r="E4" s="2" t="s">
        <v>18</v>
      </c>
      <c r="F4" s="2" t="s">
        <v>19</v>
      </c>
      <c r="G4" s="2" t="s">
        <v>30</v>
      </c>
      <c r="H4" s="2" t="n">
        <v>8</v>
      </c>
      <c r="I4" s="2" t="n">
        <v>5</v>
      </c>
      <c r="J4" s="3" t="n">
        <f aca="false">IFERROR(I4*CHOOSE(MATCH(G4,{"XS","S","M","L","XL"},0),6,5,4,3,2),"")</f>
        <v>15</v>
      </c>
      <c r="K4" s="2" t="s">
        <v>21</v>
      </c>
      <c r="L4" s="2" t="s">
        <v>22</v>
      </c>
      <c r="M4" s="2"/>
      <c r="N4" s="4" t="n">
        <v>46141</v>
      </c>
    </row>
    <row r="5" customFormat="false" ht="37.5" hidden="false" customHeight="true" outlineLevel="0" collapsed="false">
      <c r="A5" s="5" t="s">
        <v>31</v>
      </c>
      <c r="B5" s="5" t="s">
        <v>32</v>
      </c>
      <c r="C5" s="5" t="s">
        <v>33</v>
      </c>
      <c r="D5" s="5" t="s">
        <v>17</v>
      </c>
      <c r="E5" s="5" t="s">
        <v>18</v>
      </c>
      <c r="F5" s="5" t="s">
        <v>34</v>
      </c>
      <c r="G5" s="5" t="s">
        <v>20</v>
      </c>
      <c r="H5" s="5" t="n">
        <v>3</v>
      </c>
      <c r="I5" s="5" t="n">
        <v>4</v>
      </c>
      <c r="J5" s="6" t="n">
        <f aca="false">IFERROR(I5*CHOOSE(MATCH(G5,{"XS","S","M","L","XL"},0),6,5,4,3,2),"")</f>
        <v>20</v>
      </c>
      <c r="K5" s="5" t="s">
        <v>21</v>
      </c>
      <c r="L5" s="5" t="s">
        <v>22</v>
      </c>
      <c r="M5" s="5"/>
      <c r="N5" s="7" t="n">
        <v>46141</v>
      </c>
    </row>
    <row r="6" customFormat="false" ht="37.5" hidden="false" customHeight="true" outlineLevel="0" collapsed="false">
      <c r="A6" s="2" t="s">
        <v>35</v>
      </c>
      <c r="B6" s="2" t="s">
        <v>36</v>
      </c>
      <c r="C6" s="2" t="s">
        <v>37</v>
      </c>
      <c r="D6" s="2" t="s">
        <v>17</v>
      </c>
      <c r="E6" s="2" t="s">
        <v>18</v>
      </c>
      <c r="F6" s="2" t="s">
        <v>34</v>
      </c>
      <c r="G6" s="2" t="s">
        <v>20</v>
      </c>
      <c r="H6" s="2" t="n">
        <v>3</v>
      </c>
      <c r="I6" s="2" t="n">
        <v>3</v>
      </c>
      <c r="J6" s="3" t="n">
        <f aca="false">IFERROR(I6*CHOOSE(MATCH(G6,{"XS","S","M","L","XL"},0),6,5,4,3,2),"")</f>
        <v>15</v>
      </c>
      <c r="K6" s="2" t="s">
        <v>21</v>
      </c>
      <c r="L6" s="2" t="s">
        <v>38</v>
      </c>
      <c r="M6" s="2"/>
      <c r="N6" s="4" t="n">
        <v>46141</v>
      </c>
    </row>
    <row r="7" customFormat="false" ht="37.5" hidden="false" customHeight="true" outlineLevel="0" collapsed="false">
      <c r="A7" s="5" t="s">
        <v>39</v>
      </c>
      <c r="B7" s="5" t="s">
        <v>40</v>
      </c>
      <c r="C7" s="5" t="s">
        <v>41</v>
      </c>
      <c r="D7" s="5" t="s">
        <v>17</v>
      </c>
      <c r="E7" s="5" t="s">
        <v>18</v>
      </c>
      <c r="F7" s="5" t="s">
        <v>19</v>
      </c>
      <c r="G7" s="5" t="s">
        <v>26</v>
      </c>
      <c r="H7" s="5" t="n">
        <v>4</v>
      </c>
      <c r="I7" s="5" t="n">
        <v>5</v>
      </c>
      <c r="J7" s="6" t="n">
        <f aca="false">IFERROR(I7*CHOOSE(MATCH(G7,{"XS","S","M","L","XL"},0),6,5,4,3,2),"")</f>
        <v>20</v>
      </c>
      <c r="K7" s="5" t="s">
        <v>21</v>
      </c>
      <c r="L7" s="5" t="s">
        <v>22</v>
      </c>
      <c r="M7" s="5"/>
      <c r="N7" s="7" t="n">
        <v>46141</v>
      </c>
    </row>
    <row r="8" customFormat="false" ht="37.5" hidden="false" customHeight="true" outlineLevel="0" collapsed="false">
      <c r="A8" s="2" t="s">
        <v>42</v>
      </c>
      <c r="B8" s="2" t="s">
        <v>43</v>
      </c>
      <c r="C8" s="2" t="s">
        <v>44</v>
      </c>
      <c r="D8" s="2" t="s">
        <v>17</v>
      </c>
      <c r="E8" s="2" t="s">
        <v>18</v>
      </c>
      <c r="F8" s="2" t="s">
        <v>19</v>
      </c>
      <c r="G8" s="2" t="s">
        <v>30</v>
      </c>
      <c r="H8" s="2" t="n">
        <v>8</v>
      </c>
      <c r="I8" s="2" t="n">
        <v>5</v>
      </c>
      <c r="J8" s="3" t="n">
        <f aca="false">IFERROR(I8*CHOOSE(MATCH(G8,{"XS","S","M","L","XL"},0),6,5,4,3,2),"")</f>
        <v>15</v>
      </c>
      <c r="K8" s="2" t="s">
        <v>21</v>
      </c>
      <c r="L8" s="2" t="s">
        <v>22</v>
      </c>
      <c r="M8" s="2"/>
      <c r="N8" s="4" t="n">
        <v>46141</v>
      </c>
    </row>
    <row r="9" customFormat="false" ht="37.5" hidden="false" customHeight="true" outlineLevel="0" collapsed="false">
      <c r="A9" s="5" t="s">
        <v>45</v>
      </c>
      <c r="B9" s="5" t="s">
        <v>46</v>
      </c>
      <c r="C9" s="5" t="s">
        <v>47</v>
      </c>
      <c r="D9" s="5" t="s">
        <v>48</v>
      </c>
      <c r="E9" s="5" t="s">
        <v>18</v>
      </c>
      <c r="F9" s="5" t="s">
        <v>34</v>
      </c>
      <c r="G9" s="5" t="s">
        <v>26</v>
      </c>
      <c r="H9" s="5" t="n">
        <v>4</v>
      </c>
      <c r="I9" s="5" t="n">
        <v>4</v>
      </c>
      <c r="J9" s="6" t="n">
        <f aca="false">IFERROR(I9*CHOOSE(MATCH(G9,{"XS","S","M","L","XL"},0),6,5,4,3,2),"")</f>
        <v>16</v>
      </c>
      <c r="K9" s="5" t="s">
        <v>21</v>
      </c>
      <c r="L9" s="5" t="s">
        <v>22</v>
      </c>
      <c r="M9" s="5"/>
      <c r="N9" s="7" t="n">
        <v>46141</v>
      </c>
    </row>
    <row r="10" customFormat="false" ht="37.5" hidden="false" customHeight="true" outlineLevel="0" collapsed="false">
      <c r="A10" s="2" t="s">
        <v>49</v>
      </c>
      <c r="B10" s="2" t="s">
        <v>50</v>
      </c>
      <c r="C10" s="2" t="s">
        <v>51</v>
      </c>
      <c r="D10" s="2" t="s">
        <v>48</v>
      </c>
      <c r="E10" s="2" t="s">
        <v>18</v>
      </c>
      <c r="F10" s="2" t="s">
        <v>34</v>
      </c>
      <c r="G10" s="2" t="s">
        <v>26</v>
      </c>
      <c r="H10" s="2" t="n">
        <v>4</v>
      </c>
      <c r="I10" s="2" t="n">
        <v>4</v>
      </c>
      <c r="J10" s="3" t="n">
        <f aca="false">IFERROR(I10*CHOOSE(MATCH(G10,{"XS","S","M","L","XL"},0),6,5,4,3,2),"")</f>
        <v>16</v>
      </c>
      <c r="K10" s="2" t="s">
        <v>21</v>
      </c>
      <c r="L10" s="2" t="s">
        <v>38</v>
      </c>
      <c r="M10" s="2"/>
      <c r="N10" s="4" t="n">
        <v>46141</v>
      </c>
    </row>
    <row r="11" customFormat="false" ht="37.5" hidden="false" customHeight="true" outlineLevel="0" collapsed="false">
      <c r="A11" s="5" t="s">
        <v>52</v>
      </c>
      <c r="B11" s="5" t="s">
        <v>53</v>
      </c>
      <c r="C11" s="5" t="s">
        <v>54</v>
      </c>
      <c r="D11" s="5" t="s">
        <v>17</v>
      </c>
      <c r="E11" s="5" t="s">
        <v>18</v>
      </c>
      <c r="F11" s="5" t="s">
        <v>34</v>
      </c>
      <c r="G11" s="5" t="s">
        <v>26</v>
      </c>
      <c r="H11" s="5" t="n">
        <v>4</v>
      </c>
      <c r="I11" s="5" t="n">
        <v>4</v>
      </c>
      <c r="J11" s="6" t="n">
        <f aca="false">IFERROR(I11*CHOOSE(MATCH(G11,{"XS","S","M","L","XL"},0),6,5,4,3,2),"")</f>
        <v>16</v>
      </c>
      <c r="K11" s="5" t="s">
        <v>21</v>
      </c>
      <c r="L11" s="5" t="s">
        <v>22</v>
      </c>
      <c r="M11" s="5"/>
      <c r="N11" s="7" t="n">
        <v>46141</v>
      </c>
    </row>
    <row r="12" customFormat="false" ht="37.5" hidden="false" customHeight="true" outlineLevel="0" collapsed="false">
      <c r="A12" s="2" t="s">
        <v>55</v>
      </c>
      <c r="B12" s="2" t="s">
        <v>56</v>
      </c>
      <c r="C12" s="2" t="s">
        <v>57</v>
      </c>
      <c r="D12" s="2" t="s">
        <v>17</v>
      </c>
      <c r="E12" s="2" t="s">
        <v>18</v>
      </c>
      <c r="F12" s="2" t="s">
        <v>34</v>
      </c>
      <c r="G12" s="2" t="s">
        <v>30</v>
      </c>
      <c r="H12" s="2" t="n">
        <v>8</v>
      </c>
      <c r="I12" s="2" t="n">
        <v>4</v>
      </c>
      <c r="J12" s="3" t="n">
        <f aca="false">IFERROR(I12*CHOOSE(MATCH(G12,{"XS","S","M","L","XL"},0),6,5,4,3,2),"")</f>
        <v>12</v>
      </c>
      <c r="K12" s="2" t="s">
        <v>21</v>
      </c>
      <c r="L12" s="2" t="s">
        <v>38</v>
      </c>
      <c r="M12" s="2"/>
      <c r="N12" s="4" t="n">
        <v>46141</v>
      </c>
    </row>
    <row r="13" customFormat="false" ht="37.5" hidden="false" customHeight="true" outlineLevel="0" collapsed="false">
      <c r="A13" s="5" t="s">
        <v>58</v>
      </c>
      <c r="B13" s="5" t="s">
        <v>59</v>
      </c>
      <c r="C13" s="5" t="s">
        <v>60</v>
      </c>
      <c r="D13" s="5" t="s">
        <v>17</v>
      </c>
      <c r="E13" s="5" t="s">
        <v>18</v>
      </c>
      <c r="F13" s="5" t="s">
        <v>34</v>
      </c>
      <c r="G13" s="5" t="s">
        <v>26</v>
      </c>
      <c r="H13" s="5" t="n">
        <v>4</v>
      </c>
      <c r="I13" s="5" t="n">
        <v>4</v>
      </c>
      <c r="J13" s="6" t="n">
        <f aca="false">IFERROR(I13*CHOOSE(MATCH(G13,{"XS","S","M","L","XL"},0),6,5,4,3,2),"")</f>
        <v>16</v>
      </c>
      <c r="K13" s="5" t="s">
        <v>21</v>
      </c>
      <c r="L13" s="5" t="s">
        <v>22</v>
      </c>
      <c r="M13" s="5"/>
      <c r="N13" s="7" t="n">
        <v>46141</v>
      </c>
    </row>
    <row r="14" customFormat="false" ht="37.5" hidden="false" customHeight="true" outlineLevel="0" collapsed="false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18</v>
      </c>
      <c r="F14" s="2" t="s">
        <v>19</v>
      </c>
      <c r="G14" s="2" t="s">
        <v>30</v>
      </c>
      <c r="H14" s="2" t="n">
        <v>10</v>
      </c>
      <c r="I14" s="2" t="n">
        <v>5</v>
      </c>
      <c r="J14" s="3" t="n">
        <f aca="false">IFERROR(I14*CHOOSE(MATCH(G14,{"XS","S","M","L","XL"},0),6,5,4,3,2),"")</f>
        <v>15</v>
      </c>
      <c r="K14" s="2" t="s">
        <v>21</v>
      </c>
      <c r="L14" s="2" t="s">
        <v>38</v>
      </c>
      <c r="M14" s="2"/>
      <c r="N14" s="4" t="n">
        <v>46141</v>
      </c>
    </row>
    <row r="15" customFormat="false" ht="37.5" hidden="false" customHeight="true" outlineLevel="0" collapsed="false">
      <c r="A15" s="5" t="s">
        <v>65</v>
      </c>
      <c r="B15" s="5" t="s">
        <v>66</v>
      </c>
      <c r="C15" s="5" t="s">
        <v>67</v>
      </c>
      <c r="D15" s="5" t="s">
        <v>68</v>
      </c>
      <c r="E15" s="5" t="s">
        <v>18</v>
      </c>
      <c r="F15" s="5" t="s">
        <v>19</v>
      </c>
      <c r="G15" s="5" t="s">
        <v>26</v>
      </c>
      <c r="H15" s="5" t="n">
        <v>4</v>
      </c>
      <c r="I15" s="5" t="n">
        <v>5</v>
      </c>
      <c r="J15" s="6" t="n">
        <f aca="false">IFERROR(I15*CHOOSE(MATCH(G15,{"XS","S","M","L","XL"},0),6,5,4,3,2),"")</f>
        <v>20</v>
      </c>
      <c r="K15" s="5" t="s">
        <v>21</v>
      </c>
      <c r="L15" s="5" t="s">
        <v>38</v>
      </c>
      <c r="M15" s="5"/>
      <c r="N15" s="7" t="n">
        <v>46141</v>
      </c>
    </row>
    <row r="16" customFormat="false" ht="37.5" hidden="false" customHeight="true" outlineLevel="0" collapsed="false">
      <c r="A16" s="2" t="s">
        <v>69</v>
      </c>
      <c r="B16" s="2" t="s">
        <v>70</v>
      </c>
      <c r="C16" s="2" t="s">
        <v>71</v>
      </c>
      <c r="D16" s="2" t="s">
        <v>68</v>
      </c>
      <c r="E16" s="2" t="s">
        <v>18</v>
      </c>
      <c r="F16" s="2" t="s">
        <v>34</v>
      </c>
      <c r="G16" s="2" t="s">
        <v>30</v>
      </c>
      <c r="H16" s="2" t="n">
        <v>6</v>
      </c>
      <c r="I16" s="2" t="n">
        <v>4</v>
      </c>
      <c r="J16" s="3" t="n">
        <f aca="false">IFERROR(I16*CHOOSE(MATCH(G16,{"XS","S","M","L","XL"},0),6,5,4,3,2),"")</f>
        <v>12</v>
      </c>
      <c r="K16" s="2" t="s">
        <v>21</v>
      </c>
      <c r="L16" s="2" t="s">
        <v>38</v>
      </c>
      <c r="M16" s="2"/>
      <c r="N16" s="4" t="n">
        <v>46141</v>
      </c>
    </row>
    <row r="17" customFormat="false" ht="37.5" hidden="false" customHeight="true" outlineLevel="0" collapsed="false">
      <c r="A17" s="5" t="s">
        <v>72</v>
      </c>
      <c r="B17" s="5" t="s">
        <v>73</v>
      </c>
      <c r="C17" s="5" t="s">
        <v>74</v>
      </c>
      <c r="D17" s="5" t="s">
        <v>75</v>
      </c>
      <c r="E17" s="5" t="s">
        <v>18</v>
      </c>
      <c r="F17" s="5" t="s">
        <v>19</v>
      </c>
      <c r="G17" s="5" t="s">
        <v>30</v>
      </c>
      <c r="H17" s="5" t="n">
        <v>8</v>
      </c>
      <c r="I17" s="5" t="n">
        <v>5</v>
      </c>
      <c r="J17" s="6" t="n">
        <f aca="false">IFERROR(I17*CHOOSE(MATCH(G17,{"XS","S","M","L","XL"},0),6,5,4,3,2),"")</f>
        <v>15</v>
      </c>
      <c r="K17" s="5" t="s">
        <v>21</v>
      </c>
      <c r="L17" s="5" t="s">
        <v>38</v>
      </c>
      <c r="M17" s="5"/>
      <c r="N17" s="7" t="n">
        <v>46141</v>
      </c>
    </row>
    <row r="18" customFormat="false" ht="37.5" hidden="false" customHeight="true" outlineLevel="0" collapsed="false">
      <c r="A18" s="2" t="s">
        <v>76</v>
      </c>
      <c r="B18" s="2" t="s">
        <v>77</v>
      </c>
      <c r="C18" s="2" t="s">
        <v>78</v>
      </c>
      <c r="D18" s="2" t="s">
        <v>75</v>
      </c>
      <c r="E18" s="2" t="s">
        <v>18</v>
      </c>
      <c r="F18" s="2" t="s">
        <v>19</v>
      </c>
      <c r="G18" s="2" t="s">
        <v>26</v>
      </c>
      <c r="H18" s="2" t="n">
        <v>4</v>
      </c>
      <c r="I18" s="2" t="n">
        <v>5</v>
      </c>
      <c r="J18" s="3" t="n">
        <f aca="false">IFERROR(I18*CHOOSE(MATCH(G18,{"XS","S","M","L","XL"},0),6,5,4,3,2),"")</f>
        <v>20</v>
      </c>
      <c r="K18" s="2" t="s">
        <v>21</v>
      </c>
      <c r="L18" s="2" t="s">
        <v>38</v>
      </c>
      <c r="M18" s="2"/>
      <c r="N18" s="4" t="n">
        <v>46141</v>
      </c>
    </row>
    <row r="19" customFormat="false" ht="37.5" hidden="false" customHeight="true" outlineLevel="0" collapsed="false">
      <c r="A19" s="5" t="s">
        <v>79</v>
      </c>
      <c r="B19" s="5" t="s">
        <v>80</v>
      </c>
      <c r="C19" s="5" t="s">
        <v>81</v>
      </c>
      <c r="D19" s="5" t="s">
        <v>82</v>
      </c>
      <c r="E19" s="5" t="s">
        <v>18</v>
      </c>
      <c r="F19" s="5" t="s">
        <v>19</v>
      </c>
      <c r="G19" s="5" t="s">
        <v>26</v>
      </c>
      <c r="H19" s="5" t="n">
        <v>3</v>
      </c>
      <c r="I19" s="5" t="n">
        <v>4</v>
      </c>
      <c r="J19" s="6" t="n">
        <f aca="false">IFERROR(I19*CHOOSE(MATCH(G19,{"XS","S","M","L","XL"},0),6,5,4,3,2),"")</f>
        <v>16</v>
      </c>
      <c r="K19" s="5" t="s">
        <v>21</v>
      </c>
      <c r="L19" s="5" t="s">
        <v>38</v>
      </c>
      <c r="M19" s="5"/>
      <c r="N19" s="7" t="n">
        <v>46141</v>
      </c>
    </row>
    <row r="20" customFormat="false" ht="37.5" hidden="false" customHeight="true" outlineLevel="0" collapsed="false">
      <c r="A20" s="2" t="s">
        <v>83</v>
      </c>
      <c r="B20" s="2" t="s">
        <v>84</v>
      </c>
      <c r="C20" s="2" t="s">
        <v>85</v>
      </c>
      <c r="D20" s="2" t="s">
        <v>17</v>
      </c>
      <c r="E20" s="2" t="s">
        <v>18</v>
      </c>
      <c r="F20" s="2" t="s">
        <v>19</v>
      </c>
      <c r="G20" s="2" t="s">
        <v>30</v>
      </c>
      <c r="H20" s="2" t="n">
        <v>8</v>
      </c>
      <c r="I20" s="2" t="n">
        <v>5</v>
      </c>
      <c r="J20" s="3" t="n">
        <f aca="false">IFERROR(I20*CHOOSE(MATCH(G20,{"XS","S","M","L","XL"},0),6,5,4,3,2),"")</f>
        <v>15</v>
      </c>
      <c r="K20" s="2" t="s">
        <v>21</v>
      </c>
      <c r="L20" s="2" t="s">
        <v>38</v>
      </c>
      <c r="M20" s="2"/>
      <c r="N20" s="4" t="n">
        <v>46141</v>
      </c>
    </row>
    <row r="21" customFormat="false" ht="37.5" hidden="false" customHeight="true" outlineLevel="0" collapsed="false">
      <c r="A21" s="5" t="s">
        <v>86</v>
      </c>
      <c r="B21" s="5" t="s">
        <v>87</v>
      </c>
      <c r="C21" s="5" t="s">
        <v>88</v>
      </c>
      <c r="D21" s="5" t="s">
        <v>75</v>
      </c>
      <c r="E21" s="5" t="s">
        <v>18</v>
      </c>
      <c r="F21" s="5" t="s">
        <v>34</v>
      </c>
      <c r="G21" s="5" t="s">
        <v>26</v>
      </c>
      <c r="H21" s="5" t="n">
        <v>3</v>
      </c>
      <c r="I21" s="5" t="n">
        <v>3</v>
      </c>
      <c r="J21" s="6" t="n">
        <f aca="false">IFERROR(I21*CHOOSE(MATCH(G21,{"XS","S","M","L","XL"},0),6,5,4,3,2),"")</f>
        <v>12</v>
      </c>
      <c r="K21" s="5" t="s">
        <v>21</v>
      </c>
      <c r="L21" s="5" t="s">
        <v>38</v>
      </c>
      <c r="M21" s="5"/>
      <c r="N21" s="7" t="n">
        <v>46141</v>
      </c>
    </row>
    <row r="22" customFormat="false" ht="37.5" hidden="false" customHeight="true" outlineLevel="0" collapsed="false">
      <c r="A22" s="2" t="s">
        <v>89</v>
      </c>
      <c r="B22" s="2" t="s">
        <v>90</v>
      </c>
      <c r="C22" s="2" t="s">
        <v>91</v>
      </c>
      <c r="D22" s="2" t="s">
        <v>82</v>
      </c>
      <c r="E22" s="2" t="s">
        <v>18</v>
      </c>
      <c r="F22" s="2" t="s">
        <v>19</v>
      </c>
      <c r="G22" s="2" t="s">
        <v>26</v>
      </c>
      <c r="H22" s="2" t="n">
        <v>3</v>
      </c>
      <c r="I22" s="2" t="n">
        <v>4</v>
      </c>
      <c r="J22" s="3" t="n">
        <f aca="false">IFERROR(I22*CHOOSE(MATCH(G22,{"XS","S","M","L","XL"},0),6,5,4,3,2),"")</f>
        <v>16</v>
      </c>
      <c r="K22" s="2" t="s">
        <v>21</v>
      </c>
      <c r="L22" s="2" t="s">
        <v>38</v>
      </c>
      <c r="M22" s="2"/>
      <c r="N22" s="4" t="n">
        <v>46141</v>
      </c>
    </row>
    <row r="23" customFormat="false" ht="37.5" hidden="false" customHeight="true" outlineLevel="0" collapsed="false">
      <c r="A23" s="5" t="s">
        <v>92</v>
      </c>
      <c r="B23" s="5" t="s">
        <v>93</v>
      </c>
      <c r="C23" s="5" t="s">
        <v>94</v>
      </c>
      <c r="D23" s="5" t="s">
        <v>68</v>
      </c>
      <c r="E23" s="5" t="s">
        <v>95</v>
      </c>
      <c r="F23" s="5" t="s">
        <v>19</v>
      </c>
      <c r="G23" s="5" t="s">
        <v>30</v>
      </c>
      <c r="H23" s="5" t="n">
        <v>10</v>
      </c>
      <c r="I23" s="5" t="n">
        <v>5</v>
      </c>
      <c r="J23" s="6" t="n">
        <f aca="false">IFERROR(I23*CHOOSE(MATCH(G23,{"XS","S","M","L","XL"},0),6,5,4,3,2),"")</f>
        <v>15</v>
      </c>
      <c r="K23" s="5" t="s">
        <v>21</v>
      </c>
      <c r="L23" s="5" t="s">
        <v>38</v>
      </c>
      <c r="M23" s="5" t="s">
        <v>96</v>
      </c>
      <c r="N23" s="7" t="n">
        <v>46141</v>
      </c>
    </row>
    <row r="24" customFormat="false" ht="37.5" hidden="false" customHeight="true" outlineLevel="0" collapsed="false">
      <c r="A24" s="2" t="s">
        <v>97</v>
      </c>
      <c r="B24" s="2" t="s">
        <v>98</v>
      </c>
      <c r="C24" s="2" t="s">
        <v>99</v>
      </c>
      <c r="D24" s="2" t="s">
        <v>82</v>
      </c>
      <c r="E24" s="2" t="s">
        <v>95</v>
      </c>
      <c r="F24" s="2" t="s">
        <v>19</v>
      </c>
      <c r="G24" s="2" t="s">
        <v>26</v>
      </c>
      <c r="H24" s="2" t="n">
        <v>3</v>
      </c>
      <c r="I24" s="2" t="n">
        <v>5</v>
      </c>
      <c r="J24" s="3" t="n">
        <f aca="false">IFERROR(I24*CHOOSE(MATCH(G24,{"XS","S","M","L","XL"},0),6,5,4,3,2),"")</f>
        <v>20</v>
      </c>
      <c r="K24" s="2" t="s">
        <v>21</v>
      </c>
      <c r="L24" s="2" t="s">
        <v>38</v>
      </c>
      <c r="M24" s="2" t="s">
        <v>100</v>
      </c>
      <c r="N24" s="4" t="n">
        <v>46141</v>
      </c>
    </row>
    <row r="25" customFormat="false" ht="37.5" hidden="false" customHeight="true" outlineLevel="0" collapsed="false">
      <c r="A25" s="5" t="s">
        <v>101</v>
      </c>
      <c r="B25" s="5" t="s">
        <v>102</v>
      </c>
      <c r="C25" s="5" t="s">
        <v>103</v>
      </c>
      <c r="D25" s="5" t="s">
        <v>82</v>
      </c>
      <c r="E25" s="5" t="s">
        <v>95</v>
      </c>
      <c r="F25" s="5" t="s">
        <v>34</v>
      </c>
      <c r="G25" s="5" t="s">
        <v>30</v>
      </c>
      <c r="H25" s="5" t="n">
        <v>6</v>
      </c>
      <c r="I25" s="5" t="n">
        <v>4</v>
      </c>
      <c r="J25" s="6" t="n">
        <f aca="false">IFERROR(I25*CHOOSE(MATCH(G25,{"XS","S","M","L","XL"},0),6,5,4,3,2),"")</f>
        <v>12</v>
      </c>
      <c r="K25" s="5"/>
      <c r="L25" s="5" t="s">
        <v>38</v>
      </c>
      <c r="M25" s="5" t="s">
        <v>104</v>
      </c>
      <c r="N25" s="7" t="n">
        <v>46141</v>
      </c>
    </row>
    <row r="26" customFormat="false" ht="37.5" hidden="false" customHeight="true" outlineLevel="0" collapsed="false">
      <c r="A26" s="2" t="s">
        <v>105</v>
      </c>
      <c r="B26" s="2" t="s">
        <v>106</v>
      </c>
      <c r="C26" s="2" t="s">
        <v>107</v>
      </c>
      <c r="D26" s="2" t="s">
        <v>64</v>
      </c>
      <c r="E26" s="2" t="s">
        <v>95</v>
      </c>
      <c r="F26" s="2" t="s">
        <v>108</v>
      </c>
      <c r="G26" s="2" t="s">
        <v>20</v>
      </c>
      <c r="H26" s="2" t="n">
        <v>2</v>
      </c>
      <c r="I26" s="2" t="n">
        <v>3</v>
      </c>
      <c r="J26" s="3" t="n">
        <f aca="false">IFERROR(I26*CHOOSE(MATCH(G26,{"XS","S","M","L","XL"},0),6,5,4,3,2),"")</f>
        <v>15</v>
      </c>
      <c r="K26" s="2"/>
      <c r="L26" s="2" t="s">
        <v>38</v>
      </c>
      <c r="M26" s="2" t="s">
        <v>109</v>
      </c>
      <c r="N26" s="4" t="n">
        <v>46141</v>
      </c>
    </row>
    <row r="27" customFormat="false" ht="37.5" hidden="false" customHeight="true" outlineLevel="0" collapsed="false">
      <c r="A27" s="5" t="s">
        <v>110</v>
      </c>
      <c r="B27" s="5" t="s">
        <v>111</v>
      </c>
      <c r="C27" s="5" t="s">
        <v>112</v>
      </c>
      <c r="D27" s="5" t="s">
        <v>17</v>
      </c>
      <c r="E27" s="5" t="s">
        <v>95</v>
      </c>
      <c r="F27" s="5" t="s">
        <v>34</v>
      </c>
      <c r="G27" s="5" t="s">
        <v>26</v>
      </c>
      <c r="H27" s="5" t="n">
        <v>4</v>
      </c>
      <c r="I27" s="5" t="n">
        <v>4</v>
      </c>
      <c r="J27" s="6" t="n">
        <f aca="false">IFERROR(I27*CHOOSE(MATCH(G27,{"XS","S","M","L","XL"},0),6,5,4,3,2),"")</f>
        <v>16</v>
      </c>
      <c r="K27" s="5"/>
      <c r="L27" s="5" t="s">
        <v>22</v>
      </c>
      <c r="M27" s="5"/>
      <c r="N27" s="7" t="n">
        <v>46141</v>
      </c>
    </row>
    <row r="28" customFormat="false" ht="37.5" hidden="false" customHeight="true" outlineLevel="0" collapsed="false">
      <c r="A28" s="2" t="s">
        <v>113</v>
      </c>
      <c r="B28" s="2" t="s">
        <v>114</v>
      </c>
      <c r="C28" s="2" t="s">
        <v>115</v>
      </c>
      <c r="D28" s="2" t="s">
        <v>48</v>
      </c>
      <c r="E28" s="2" t="s">
        <v>95</v>
      </c>
      <c r="F28" s="2" t="s">
        <v>34</v>
      </c>
      <c r="G28" s="2" t="s">
        <v>26</v>
      </c>
      <c r="H28" s="2" t="n">
        <v>5</v>
      </c>
      <c r="I28" s="2" t="n">
        <v>4</v>
      </c>
      <c r="J28" s="3" t="n">
        <f aca="false">IFERROR(I28*CHOOSE(MATCH(G28,{"XS","S","M","L","XL"},0),6,5,4,3,2),"")</f>
        <v>16</v>
      </c>
      <c r="K28" s="2"/>
      <c r="L28" s="2" t="s">
        <v>22</v>
      </c>
      <c r="M28" s="2"/>
      <c r="N28" s="4" t="n">
        <v>46141</v>
      </c>
    </row>
    <row r="29" customFormat="false" ht="37.5" hidden="false" customHeight="true" outlineLevel="0" collapsed="false">
      <c r="A29" s="5" t="s">
        <v>116</v>
      </c>
      <c r="B29" s="5" t="s">
        <v>117</v>
      </c>
      <c r="C29" s="5" t="s">
        <v>118</v>
      </c>
      <c r="D29" s="5" t="s">
        <v>75</v>
      </c>
      <c r="E29" s="5" t="s">
        <v>95</v>
      </c>
      <c r="F29" s="5" t="s">
        <v>34</v>
      </c>
      <c r="G29" s="5" t="s">
        <v>20</v>
      </c>
      <c r="H29" s="5" t="n">
        <v>2</v>
      </c>
      <c r="I29" s="5" t="n">
        <v>4</v>
      </c>
      <c r="J29" s="6" t="n">
        <f aca="false">IFERROR(I29*CHOOSE(MATCH(G29,{"XS","S","M","L","XL"},0),6,5,4,3,2),"")</f>
        <v>20</v>
      </c>
      <c r="K29" s="5"/>
      <c r="L29" s="5" t="s">
        <v>38</v>
      </c>
      <c r="M29" s="5"/>
      <c r="N29" s="7" t="n">
        <v>46141</v>
      </c>
    </row>
    <row r="30" customFormat="false" ht="37.5" hidden="false" customHeight="true" outlineLevel="0" collapsed="false">
      <c r="A30" s="2" t="s">
        <v>119</v>
      </c>
      <c r="B30" s="2" t="s">
        <v>120</v>
      </c>
      <c r="C30" s="2" t="s">
        <v>121</v>
      </c>
      <c r="D30" s="2" t="s">
        <v>68</v>
      </c>
      <c r="E30" s="2" t="s">
        <v>122</v>
      </c>
      <c r="F30" s="2" t="s">
        <v>34</v>
      </c>
      <c r="G30" s="2" t="s">
        <v>123</v>
      </c>
      <c r="H30" s="2" t="n">
        <v>30</v>
      </c>
      <c r="I30" s="2" t="n">
        <v>5</v>
      </c>
      <c r="J30" s="3" t="n">
        <f aca="false">IFERROR(I30*CHOOSE(MATCH(G30,{"XS","S","M","L","XL"},0),6,5,4,3,2),"")</f>
        <v>10</v>
      </c>
      <c r="K30" s="2"/>
      <c r="L30" s="2" t="s">
        <v>124</v>
      </c>
      <c r="M30" s="2" t="s">
        <v>125</v>
      </c>
      <c r="N30" s="4" t="n">
        <v>46141</v>
      </c>
    </row>
    <row r="31" customFormat="false" ht="37.5" hidden="false" customHeight="true" outlineLevel="0" collapsed="false">
      <c r="A31" s="5" t="s">
        <v>126</v>
      </c>
      <c r="B31" s="5" t="s">
        <v>127</v>
      </c>
      <c r="C31" s="5" t="s">
        <v>128</v>
      </c>
      <c r="D31" s="5" t="s">
        <v>68</v>
      </c>
      <c r="E31" s="5" t="s">
        <v>122</v>
      </c>
      <c r="F31" s="5" t="s">
        <v>108</v>
      </c>
      <c r="G31" s="5" t="s">
        <v>123</v>
      </c>
      <c r="H31" s="5" t="n">
        <v>40</v>
      </c>
      <c r="I31" s="5" t="n">
        <v>5</v>
      </c>
      <c r="J31" s="6" t="n">
        <f aca="false">IFERROR(I31*CHOOSE(MATCH(G31,{"XS","S","M","L","XL"},0),6,5,4,3,2),"")</f>
        <v>10</v>
      </c>
      <c r="K31" s="5"/>
      <c r="L31" s="5" t="s">
        <v>38</v>
      </c>
      <c r="M31" s="5"/>
      <c r="N31" s="7" t="n">
        <v>46141</v>
      </c>
    </row>
    <row r="32" customFormat="false" ht="37.5" hidden="false" customHeight="true" outlineLevel="0" collapsed="false">
      <c r="A32" s="2" t="s">
        <v>129</v>
      </c>
      <c r="B32" s="2" t="s">
        <v>130</v>
      </c>
      <c r="C32" s="2" t="s">
        <v>131</v>
      </c>
      <c r="D32" s="2" t="s">
        <v>17</v>
      </c>
      <c r="E32" s="2" t="s">
        <v>122</v>
      </c>
      <c r="F32" s="2" t="s">
        <v>108</v>
      </c>
      <c r="G32" s="2" t="s">
        <v>30</v>
      </c>
      <c r="H32" s="2" t="n">
        <v>16</v>
      </c>
      <c r="I32" s="2" t="n">
        <v>4</v>
      </c>
      <c r="J32" s="3" t="n">
        <f aca="false">IFERROR(I32*CHOOSE(MATCH(G32,{"XS","S","M","L","XL"},0),6,5,4,3,2),"")</f>
        <v>12</v>
      </c>
      <c r="K32" s="2"/>
      <c r="L32" s="2" t="s">
        <v>38</v>
      </c>
      <c r="M32" s="2"/>
      <c r="N32" s="4" t="n">
        <v>46141</v>
      </c>
    </row>
    <row r="33" customFormat="false" ht="37.5" hidden="false" customHeight="true" outlineLevel="0" collapsed="false">
      <c r="A33" s="5" t="s">
        <v>132</v>
      </c>
      <c r="B33" s="5" t="s">
        <v>133</v>
      </c>
      <c r="C33" s="5" t="s">
        <v>134</v>
      </c>
      <c r="D33" s="5" t="s">
        <v>17</v>
      </c>
      <c r="E33" s="5" t="s">
        <v>122</v>
      </c>
      <c r="F33" s="5" t="s">
        <v>108</v>
      </c>
      <c r="G33" s="5" t="s">
        <v>20</v>
      </c>
      <c r="H33" s="5" t="n">
        <v>3</v>
      </c>
      <c r="I33" s="5" t="n">
        <v>3</v>
      </c>
      <c r="J33" s="6" t="n">
        <f aca="false">IFERROR(I33*CHOOSE(MATCH(G33,{"XS","S","M","L","XL"},0),6,5,4,3,2),"")</f>
        <v>15</v>
      </c>
      <c r="K33" s="5"/>
      <c r="L33" s="5" t="s">
        <v>38</v>
      </c>
      <c r="M33" s="5"/>
      <c r="N33" s="7" t="n">
        <v>46141</v>
      </c>
    </row>
    <row r="34" customFormat="false" ht="37.5" hidden="false" customHeight="true" outlineLevel="0" collapsed="false">
      <c r="A34" s="2" t="s">
        <v>135</v>
      </c>
      <c r="B34" s="2" t="s">
        <v>136</v>
      </c>
      <c r="C34" s="2" t="s">
        <v>137</v>
      </c>
      <c r="D34" s="2" t="s">
        <v>17</v>
      </c>
      <c r="E34" s="2" t="s">
        <v>122</v>
      </c>
      <c r="F34" s="2" t="s">
        <v>108</v>
      </c>
      <c r="G34" s="2" t="s">
        <v>123</v>
      </c>
      <c r="H34" s="2" t="n">
        <v>30</v>
      </c>
      <c r="I34" s="2" t="n">
        <v>4</v>
      </c>
      <c r="J34" s="3" t="n">
        <f aca="false">IFERROR(I34*CHOOSE(MATCH(G34,{"XS","S","M","L","XL"},0),6,5,4,3,2),"")</f>
        <v>8</v>
      </c>
      <c r="K34" s="2"/>
      <c r="L34" s="2" t="s">
        <v>38</v>
      </c>
      <c r="M34" s="2"/>
      <c r="N34" s="4" t="n">
        <v>46141</v>
      </c>
    </row>
    <row r="35" customFormat="false" ht="37.5" hidden="false" customHeight="true" outlineLevel="0" collapsed="false">
      <c r="A35" s="5" t="s">
        <v>138</v>
      </c>
      <c r="B35" s="5" t="s">
        <v>139</v>
      </c>
      <c r="C35" s="5" t="s">
        <v>140</v>
      </c>
      <c r="D35" s="5" t="s">
        <v>48</v>
      </c>
      <c r="E35" s="5" t="s">
        <v>122</v>
      </c>
      <c r="F35" s="5" t="s">
        <v>108</v>
      </c>
      <c r="G35" s="5" t="s">
        <v>26</v>
      </c>
      <c r="H35" s="5" t="n">
        <v>5</v>
      </c>
      <c r="I35" s="5" t="n">
        <v>3</v>
      </c>
      <c r="J35" s="6" t="n">
        <f aca="false">IFERROR(I35*CHOOSE(MATCH(G35,{"XS","S","M","L","XL"},0),6,5,4,3,2),"")</f>
        <v>12</v>
      </c>
      <c r="K35" s="5"/>
      <c r="L35" s="5" t="s">
        <v>38</v>
      </c>
      <c r="M35" s="5"/>
      <c r="N35" s="7" t="n">
        <v>46141</v>
      </c>
    </row>
    <row r="36" customFormat="false" ht="37.5" hidden="false" customHeight="true" outlineLevel="0" collapsed="false">
      <c r="A36" s="2" t="s">
        <v>141</v>
      </c>
      <c r="B36" s="2" t="s">
        <v>142</v>
      </c>
      <c r="C36" s="2" t="s">
        <v>143</v>
      </c>
      <c r="D36" s="2" t="s">
        <v>48</v>
      </c>
      <c r="E36" s="2" t="s">
        <v>122</v>
      </c>
      <c r="F36" s="2" t="s">
        <v>108</v>
      </c>
      <c r="G36" s="2" t="s">
        <v>26</v>
      </c>
      <c r="H36" s="2" t="n">
        <v>6</v>
      </c>
      <c r="I36" s="2" t="n">
        <v>3</v>
      </c>
      <c r="J36" s="3" t="n">
        <f aca="false">IFERROR(I36*CHOOSE(MATCH(G36,{"XS","S","M","L","XL"},0),6,5,4,3,2),"")</f>
        <v>12</v>
      </c>
      <c r="K36" s="2"/>
      <c r="L36" s="2" t="s">
        <v>38</v>
      </c>
      <c r="M36" s="2"/>
      <c r="N36" s="4" t="n">
        <v>46141</v>
      </c>
    </row>
    <row r="37" customFormat="false" ht="37.5" hidden="false" customHeight="true" outlineLevel="0" collapsed="false">
      <c r="A37" s="5" t="s">
        <v>144</v>
      </c>
      <c r="B37" s="5" t="s">
        <v>145</v>
      </c>
      <c r="C37" s="5" t="s">
        <v>146</v>
      </c>
      <c r="D37" s="5" t="s">
        <v>17</v>
      </c>
      <c r="E37" s="5" t="s">
        <v>122</v>
      </c>
      <c r="F37" s="5" t="s">
        <v>108</v>
      </c>
      <c r="G37" s="5" t="s">
        <v>30</v>
      </c>
      <c r="H37" s="5" t="n">
        <v>10</v>
      </c>
      <c r="I37" s="5" t="n">
        <v>4</v>
      </c>
      <c r="J37" s="6" t="n">
        <f aca="false">IFERROR(I37*CHOOSE(MATCH(G37,{"XS","S","M","L","XL"},0),6,5,4,3,2),"")</f>
        <v>12</v>
      </c>
      <c r="K37" s="5"/>
      <c r="L37" s="5" t="s">
        <v>38</v>
      </c>
      <c r="M37" s="5"/>
      <c r="N37" s="7" t="n">
        <v>46141</v>
      </c>
    </row>
    <row r="38" customFormat="false" ht="37.5" hidden="false" customHeight="true" outlineLevel="0" collapsed="false">
      <c r="A38" s="2" t="s">
        <v>147</v>
      </c>
      <c r="B38" s="2" t="s">
        <v>148</v>
      </c>
      <c r="C38" s="2" t="s">
        <v>149</v>
      </c>
      <c r="D38" s="2" t="s">
        <v>17</v>
      </c>
      <c r="E38" s="2" t="s">
        <v>122</v>
      </c>
      <c r="F38" s="2" t="s">
        <v>150</v>
      </c>
      <c r="G38" s="2" t="s">
        <v>20</v>
      </c>
      <c r="H38" s="2" t="n">
        <v>3</v>
      </c>
      <c r="I38" s="2" t="n">
        <v>2</v>
      </c>
      <c r="J38" s="3" t="n">
        <f aca="false">IFERROR(I38*CHOOSE(MATCH(G38,{"XS","S","M","L","XL"},0),6,5,4,3,2),"")</f>
        <v>10</v>
      </c>
      <c r="K38" s="2"/>
      <c r="L38" s="2" t="s">
        <v>38</v>
      </c>
      <c r="M38" s="2"/>
      <c r="N38" s="4" t="n">
        <v>46141</v>
      </c>
    </row>
    <row r="39" customFormat="false" ht="37.5" hidden="false" customHeight="true" outlineLevel="0" collapsed="false">
      <c r="A39" s="5" t="s">
        <v>151</v>
      </c>
      <c r="B39" s="5" t="s">
        <v>152</v>
      </c>
      <c r="C39" s="5" t="s">
        <v>153</v>
      </c>
      <c r="D39" s="5" t="s">
        <v>17</v>
      </c>
      <c r="E39" s="5" t="s">
        <v>122</v>
      </c>
      <c r="F39" s="5" t="s">
        <v>108</v>
      </c>
      <c r="G39" s="5" t="s">
        <v>30</v>
      </c>
      <c r="H39" s="5" t="n">
        <v>12</v>
      </c>
      <c r="I39" s="5" t="n">
        <v>4</v>
      </c>
      <c r="J39" s="6" t="n">
        <f aca="false">IFERROR(I39*CHOOSE(MATCH(G39,{"XS","S","M","L","XL"},0),6,5,4,3,2),"")</f>
        <v>12</v>
      </c>
      <c r="K39" s="5"/>
      <c r="L39" s="5" t="s">
        <v>38</v>
      </c>
      <c r="M39" s="5"/>
      <c r="N39" s="7" t="n">
        <v>46141</v>
      </c>
    </row>
    <row r="40" customFormat="false" ht="37.5" hidden="false" customHeight="true" outlineLevel="0" collapsed="false">
      <c r="A40" s="2" t="s">
        <v>154</v>
      </c>
      <c r="B40" s="2" t="s">
        <v>155</v>
      </c>
      <c r="C40" s="2" t="s">
        <v>156</v>
      </c>
      <c r="D40" s="2" t="s">
        <v>82</v>
      </c>
      <c r="E40" s="2" t="s">
        <v>122</v>
      </c>
      <c r="F40" s="2" t="s">
        <v>108</v>
      </c>
      <c r="G40" s="2" t="s">
        <v>30</v>
      </c>
      <c r="H40" s="2" t="n">
        <v>10</v>
      </c>
      <c r="I40" s="2" t="n">
        <v>3</v>
      </c>
      <c r="J40" s="3" t="n">
        <f aca="false">IFERROR(I40*CHOOSE(MATCH(G40,{"XS","S","M","L","XL"},0),6,5,4,3,2),"")</f>
        <v>9</v>
      </c>
      <c r="K40" s="2"/>
      <c r="L40" s="2" t="s">
        <v>38</v>
      </c>
      <c r="M40" s="2"/>
      <c r="N40" s="4" t="n">
        <v>46141</v>
      </c>
    </row>
    <row r="41" customFormat="false" ht="37.5" hidden="false" customHeight="true" outlineLevel="0" collapsed="false">
      <c r="A41" s="5" t="s">
        <v>157</v>
      </c>
      <c r="B41" s="5" t="s">
        <v>158</v>
      </c>
      <c r="C41" s="5" t="s">
        <v>159</v>
      </c>
      <c r="D41" s="5" t="s">
        <v>48</v>
      </c>
      <c r="E41" s="5" t="s">
        <v>122</v>
      </c>
      <c r="F41" s="5" t="s">
        <v>108</v>
      </c>
      <c r="G41" s="5" t="s">
        <v>26</v>
      </c>
      <c r="H41" s="5" t="n">
        <v>5</v>
      </c>
      <c r="I41" s="5" t="n">
        <v>3</v>
      </c>
      <c r="J41" s="6" t="n">
        <f aca="false">IFERROR(I41*CHOOSE(MATCH(G41,{"XS","S","M","L","XL"},0),6,5,4,3,2),"")</f>
        <v>12</v>
      </c>
      <c r="K41" s="5"/>
      <c r="L41" s="5" t="s">
        <v>38</v>
      </c>
      <c r="M41" s="5"/>
      <c r="N41" s="7" t="n">
        <v>46141</v>
      </c>
    </row>
    <row r="42" customFormat="false" ht="37.5" hidden="false" customHeight="true" outlineLevel="0" collapsed="false">
      <c r="A42" s="2" t="s">
        <v>160</v>
      </c>
      <c r="B42" s="2" t="s">
        <v>161</v>
      </c>
      <c r="C42" s="2" t="s">
        <v>162</v>
      </c>
      <c r="D42" s="2" t="s">
        <v>48</v>
      </c>
      <c r="E42" s="2" t="s">
        <v>122</v>
      </c>
      <c r="F42" s="2" t="s">
        <v>150</v>
      </c>
      <c r="G42" s="2" t="s">
        <v>30</v>
      </c>
      <c r="H42" s="2" t="n">
        <v>16</v>
      </c>
      <c r="I42" s="2" t="n">
        <v>3</v>
      </c>
      <c r="J42" s="3" t="n">
        <f aca="false">IFERROR(I42*CHOOSE(MATCH(G42,{"XS","S","M","L","XL"},0),6,5,4,3,2),"")</f>
        <v>9</v>
      </c>
      <c r="K42" s="2"/>
      <c r="L42" s="2" t="s">
        <v>38</v>
      </c>
      <c r="M42" s="2"/>
      <c r="N42" s="4" t="n">
        <v>46141</v>
      </c>
    </row>
    <row r="43" customFormat="false" ht="37.5" hidden="false" customHeight="true" outlineLevel="0" collapsed="false">
      <c r="A43" s="5" t="s">
        <v>163</v>
      </c>
      <c r="B43" s="5" t="s">
        <v>164</v>
      </c>
      <c r="C43" s="5" t="s">
        <v>165</v>
      </c>
      <c r="D43" s="5" t="s">
        <v>82</v>
      </c>
      <c r="E43" s="5" t="s">
        <v>122</v>
      </c>
      <c r="F43" s="5" t="s">
        <v>150</v>
      </c>
      <c r="G43" s="5" t="s">
        <v>30</v>
      </c>
      <c r="H43" s="5" t="n">
        <v>14</v>
      </c>
      <c r="I43" s="5" t="n">
        <v>4</v>
      </c>
      <c r="J43" s="6" t="n">
        <f aca="false">IFERROR(I43*CHOOSE(MATCH(G43,{"XS","S","M","L","XL"},0),6,5,4,3,2),"")</f>
        <v>12</v>
      </c>
      <c r="K43" s="5"/>
      <c r="L43" s="5" t="s">
        <v>38</v>
      </c>
      <c r="M43" s="5"/>
      <c r="N43" s="7" t="n">
        <v>46141</v>
      </c>
    </row>
    <row r="44" customFormat="false" ht="37.5" hidden="false" customHeight="true" outlineLevel="0" collapsed="false">
      <c r="A44" s="2" t="s">
        <v>166</v>
      </c>
      <c r="B44" s="2" t="s">
        <v>167</v>
      </c>
      <c r="C44" s="2" t="s">
        <v>168</v>
      </c>
      <c r="D44" s="2" t="s">
        <v>64</v>
      </c>
      <c r="E44" s="2" t="s">
        <v>122</v>
      </c>
      <c r="F44" s="2" t="s">
        <v>108</v>
      </c>
      <c r="G44" s="2" t="s">
        <v>26</v>
      </c>
      <c r="H44" s="2" t="n">
        <v>5</v>
      </c>
      <c r="I44" s="2" t="n">
        <v>3</v>
      </c>
      <c r="J44" s="3" t="n">
        <f aca="false">IFERROR(I44*CHOOSE(MATCH(G44,{"XS","S","M","L","XL"},0),6,5,4,3,2),"")</f>
        <v>12</v>
      </c>
      <c r="K44" s="2"/>
      <c r="L44" s="2" t="s">
        <v>38</v>
      </c>
      <c r="M44" s="2"/>
      <c r="N44" s="4" t="n">
        <v>46141</v>
      </c>
    </row>
    <row r="45" customFormat="false" ht="37.5" hidden="false" customHeight="true" outlineLevel="0" collapsed="false">
      <c r="A45" s="5" t="s">
        <v>169</v>
      </c>
      <c r="B45" s="5" t="s">
        <v>170</v>
      </c>
      <c r="C45" s="5" t="s">
        <v>171</v>
      </c>
      <c r="D45" s="5" t="s">
        <v>64</v>
      </c>
      <c r="E45" s="5" t="s">
        <v>122</v>
      </c>
      <c r="F45" s="5" t="s">
        <v>108</v>
      </c>
      <c r="G45" s="5" t="s">
        <v>26</v>
      </c>
      <c r="H45" s="5" t="n">
        <v>4</v>
      </c>
      <c r="I45" s="5" t="n">
        <v>3</v>
      </c>
      <c r="J45" s="6" t="n">
        <f aca="false">IFERROR(I45*CHOOSE(MATCH(G45,{"XS","S","M","L","XL"},0),6,5,4,3,2),"")</f>
        <v>12</v>
      </c>
      <c r="K45" s="5"/>
      <c r="L45" s="5" t="s">
        <v>38</v>
      </c>
      <c r="M45" s="5"/>
      <c r="N45" s="7" t="n">
        <v>46141</v>
      </c>
    </row>
    <row r="46" customFormat="false" ht="37.5" hidden="false" customHeight="true" outlineLevel="0" collapsed="false">
      <c r="A46" s="2" t="s">
        <v>172</v>
      </c>
      <c r="B46" s="2" t="s">
        <v>173</v>
      </c>
      <c r="C46" s="2" t="s">
        <v>174</v>
      </c>
      <c r="D46" s="2" t="s">
        <v>17</v>
      </c>
      <c r="E46" s="2" t="s">
        <v>122</v>
      </c>
      <c r="F46" s="2" t="s">
        <v>108</v>
      </c>
      <c r="G46" s="2" t="s">
        <v>26</v>
      </c>
      <c r="H46" s="2" t="n">
        <v>4</v>
      </c>
      <c r="I46" s="2" t="n">
        <v>3</v>
      </c>
      <c r="J46" s="3" t="n">
        <f aca="false">IFERROR(I46*CHOOSE(MATCH(G46,{"XS","S","M","L","XL"},0),6,5,4,3,2),"")</f>
        <v>12</v>
      </c>
      <c r="K46" s="2"/>
      <c r="L46" s="2" t="s">
        <v>38</v>
      </c>
      <c r="M46" s="2" t="s">
        <v>175</v>
      </c>
      <c r="N46" s="4" t="n">
        <v>46141</v>
      </c>
    </row>
    <row r="47" customFormat="false" ht="37.5" hidden="false" customHeight="true" outlineLevel="0" collapsed="false">
      <c r="A47" s="5" t="s">
        <v>176</v>
      </c>
      <c r="B47" s="5" t="s">
        <v>177</v>
      </c>
      <c r="C47" s="5" t="s">
        <v>178</v>
      </c>
      <c r="D47" s="5" t="s">
        <v>82</v>
      </c>
      <c r="E47" s="5" t="s">
        <v>122</v>
      </c>
      <c r="F47" s="5" t="s">
        <v>150</v>
      </c>
      <c r="G47" s="5" t="s">
        <v>30</v>
      </c>
      <c r="H47" s="5" t="n">
        <v>14</v>
      </c>
      <c r="I47" s="5" t="n">
        <v>3</v>
      </c>
      <c r="J47" s="6" t="n">
        <f aca="false">IFERROR(I47*CHOOSE(MATCH(G47,{"XS","S","M","L","XL"},0),6,5,4,3,2),"")</f>
        <v>9</v>
      </c>
      <c r="K47" s="5"/>
      <c r="L47" s="5" t="s">
        <v>38</v>
      </c>
      <c r="M47" s="5"/>
      <c r="N47" s="7" t="n">
        <v>46141</v>
      </c>
    </row>
    <row r="48" customFormat="false" ht="37.5" hidden="false" customHeight="true" outlineLevel="0" collapsed="false">
      <c r="A48" s="2" t="s">
        <v>179</v>
      </c>
      <c r="B48" s="2" t="s">
        <v>180</v>
      </c>
      <c r="C48" s="2" t="s">
        <v>181</v>
      </c>
      <c r="D48" s="2" t="s">
        <v>182</v>
      </c>
      <c r="E48" s="2" t="s">
        <v>183</v>
      </c>
      <c r="F48" s="2" t="s">
        <v>150</v>
      </c>
      <c r="G48" s="2" t="s">
        <v>30</v>
      </c>
      <c r="H48" s="2" t="n">
        <v>14</v>
      </c>
      <c r="I48" s="2" t="n">
        <v>3</v>
      </c>
      <c r="J48" s="3" t="n">
        <f aca="false">IFERROR(I48*CHOOSE(MATCH(G48,{"XS","S","M","L","XL"},0),6,5,4,3,2),"")</f>
        <v>9</v>
      </c>
      <c r="K48" s="2"/>
      <c r="L48" s="2" t="s">
        <v>38</v>
      </c>
      <c r="M48" s="2"/>
      <c r="N48" s="4" t="n">
        <v>46141</v>
      </c>
    </row>
    <row r="49" customFormat="false" ht="37.5" hidden="false" customHeight="true" outlineLevel="0" collapsed="false">
      <c r="A49" s="5" t="s">
        <v>184</v>
      </c>
      <c r="B49" s="5" t="s">
        <v>185</v>
      </c>
      <c r="C49" s="5" t="s">
        <v>186</v>
      </c>
      <c r="D49" s="5" t="s">
        <v>182</v>
      </c>
      <c r="E49" s="5" t="s">
        <v>183</v>
      </c>
      <c r="F49" s="5" t="s">
        <v>150</v>
      </c>
      <c r="G49" s="5" t="s">
        <v>123</v>
      </c>
      <c r="H49" s="5" t="n">
        <v>40</v>
      </c>
      <c r="I49" s="5" t="n">
        <v>4</v>
      </c>
      <c r="J49" s="6" t="n">
        <f aca="false">IFERROR(I49*CHOOSE(MATCH(G49,{"XS","S","M","L","XL"},0),6,5,4,3,2),"")</f>
        <v>8</v>
      </c>
      <c r="K49" s="5"/>
      <c r="L49" s="5" t="s">
        <v>38</v>
      </c>
      <c r="M49" s="5"/>
      <c r="N49" s="7" t="n">
        <v>46141</v>
      </c>
    </row>
    <row r="50" customFormat="false" ht="37.5" hidden="false" customHeight="true" outlineLevel="0" collapsed="false">
      <c r="A50" s="2" t="s">
        <v>187</v>
      </c>
      <c r="B50" s="2" t="s">
        <v>188</v>
      </c>
      <c r="C50" s="2" t="s">
        <v>189</v>
      </c>
      <c r="D50" s="2" t="s">
        <v>182</v>
      </c>
      <c r="E50" s="2" t="s">
        <v>183</v>
      </c>
      <c r="F50" s="2" t="s">
        <v>150</v>
      </c>
      <c r="G50" s="2" t="s">
        <v>123</v>
      </c>
      <c r="H50" s="2" t="n">
        <v>50</v>
      </c>
      <c r="I50" s="2" t="n">
        <v>4</v>
      </c>
      <c r="J50" s="3" t="n">
        <f aca="false">IFERROR(I50*CHOOSE(MATCH(G50,{"XS","S","M","L","XL"},0),6,5,4,3,2),"")</f>
        <v>8</v>
      </c>
      <c r="K50" s="2"/>
      <c r="L50" s="2" t="s">
        <v>38</v>
      </c>
      <c r="M50" s="2"/>
      <c r="N50" s="4" t="n">
        <v>46141</v>
      </c>
    </row>
    <row r="51" customFormat="false" ht="37.5" hidden="false" customHeight="true" outlineLevel="0" collapsed="false">
      <c r="A51" s="5" t="s">
        <v>190</v>
      </c>
      <c r="B51" s="5" t="s">
        <v>191</v>
      </c>
      <c r="C51" s="5" t="s">
        <v>192</v>
      </c>
      <c r="D51" s="5" t="s">
        <v>182</v>
      </c>
      <c r="E51" s="5" t="s">
        <v>183</v>
      </c>
      <c r="F51" s="5" t="s">
        <v>150</v>
      </c>
      <c r="G51" s="5" t="s">
        <v>123</v>
      </c>
      <c r="H51" s="5" t="n">
        <v>80</v>
      </c>
      <c r="I51" s="5" t="n">
        <v>3</v>
      </c>
      <c r="J51" s="6" t="n">
        <f aca="false">IFERROR(I51*CHOOSE(MATCH(G51,{"XS","S","M","L","XL"},0),6,5,4,3,2),"")</f>
        <v>6</v>
      </c>
      <c r="K51" s="5"/>
      <c r="L51" s="5" t="s">
        <v>38</v>
      </c>
      <c r="M51" s="5" t="s">
        <v>193</v>
      </c>
      <c r="N51" s="7" t="n">
        <v>46141</v>
      </c>
    </row>
  </sheetData>
  <autoFilter ref="A1:N51"/>
  <conditionalFormatting sqref="E2:E51">
    <cfRule type="cellIs" priority="2" operator="equal" aboveAverage="0" equalAverage="0" bottom="0" percent="0" rank="0" text="" dxfId="12">
      <formula>"Shipped"</formula>
    </cfRule>
    <cfRule type="cellIs" priority="3" operator="equal" aboveAverage="0" equalAverage="0" bottom="0" percent="0" rank="0" text="" dxfId="13">
      <formula>"Next up"</formula>
    </cfRule>
    <cfRule type="cellIs" priority="4" operator="equal" aboveAverage="0" equalAverage="0" bottom="0" percent="0" rank="0" text="" dxfId="14">
      <formula>"Backlog"</formula>
    </cfRule>
    <cfRule type="cellIs" priority="5" operator="equal" aboveAverage="0" equalAverage="0" bottom="0" percent="0" rank="0" text="" dxfId="15">
      <formula>"Idea"</formula>
    </cfRule>
    <cfRule type="cellIs" priority="6" operator="equal" aboveAverage="0" equalAverage="0" bottom="0" percent="0" rank="0" text="" dxfId="16">
      <formula>"Blocked"</formula>
    </cfRule>
  </conditionalFormatting>
  <conditionalFormatting sqref="F2:F51">
    <cfRule type="cellIs" priority="7" operator="equal" aboveAverage="0" equalAverage="0" bottom="0" percent="0" rank="0" text="" dxfId="16">
      <formula>"P0"</formula>
    </cfRule>
    <cfRule type="cellIs" priority="8" operator="equal" aboveAverage="0" equalAverage="0" bottom="0" percent="0" rank="0" text="" dxfId="17">
      <formula>"P1"</formula>
    </cfRule>
    <cfRule type="cellIs" priority="9" operator="equal" aboveAverage="0" equalAverage="0" bottom="0" percent="0" rank="0" text="" dxfId="14">
      <formula>"P2"</formula>
    </cfRule>
    <cfRule type="cellIs" priority="10" operator="equal" aboveAverage="0" equalAverage="0" bottom="0" percent="0" rank="0" text="" dxfId="18">
      <formula>"P3"</formula>
    </cfRule>
  </conditionalFormatting>
  <conditionalFormatting sqref="J2:J51">
    <cfRule type="dataBar" priority="11">
      <dataBar showValue="1" minLength="10" maxLength="90">
        <cfvo type="min" val="0"/>
        <cfvo type="max" val="0"/>
        <color rgb="FF8B86FF"/>
      </dataBar>
      <extLst>
        <ext xmlns:x14="http://schemas.microsoft.com/office/spreadsheetml/2009/9/main" uri="{B025F937-C7B1-47D3-B67F-A62EFF666E3E}">
          <x14:id>{DBE0E548-509B-4522-AB9B-CB8BEF59AD44}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E0E548-509B-4522-AB9B-CB8BEF59AD44}">
            <x14:dataBar minLength="10" maxLength="90" axisPosition="none" gradient="true">
              <x14:cfvo type="min"/>
              <x14:cfvo type="max"/>
              <x14:negativeFillColor rgb="FF8B86FF"/>
              <x14:axisColor rgb="FF000000"/>
            </x14:dataBar>
          </x14:cfRule>
          <xm:sqref>J2:J51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0"/>
  </cols>
  <sheetData>
    <row r="1" customFormat="false" ht="30" hidden="false" customHeight="true" outlineLevel="0" collapsed="false">
      <c r="A1" s="8" t="s">
        <v>194</v>
      </c>
      <c r="B1" s="8"/>
    </row>
    <row r="3" customFormat="false" ht="21.75" hidden="false" customHeight="true" outlineLevel="0" collapsed="false">
      <c r="A3" s="9" t="s">
        <v>4</v>
      </c>
      <c r="B3" s="9"/>
    </row>
    <row r="4" customFormat="false" ht="21.75" hidden="false" customHeight="true" outlineLevel="0" collapsed="false">
      <c r="A4" s="10" t="s">
        <v>18</v>
      </c>
      <c r="B4" s="11" t="s">
        <v>195</v>
      </c>
    </row>
    <row r="5" customFormat="false" ht="21.75" hidden="false" customHeight="true" outlineLevel="0" collapsed="false">
      <c r="A5" s="10" t="s">
        <v>95</v>
      </c>
      <c r="B5" s="11" t="s">
        <v>196</v>
      </c>
    </row>
    <row r="6" customFormat="false" ht="21.75" hidden="false" customHeight="true" outlineLevel="0" collapsed="false">
      <c r="A6" s="10" t="s">
        <v>122</v>
      </c>
      <c r="B6" s="11" t="s">
        <v>197</v>
      </c>
    </row>
    <row r="7" customFormat="false" ht="21.75" hidden="false" customHeight="true" outlineLevel="0" collapsed="false">
      <c r="A7" s="10" t="s">
        <v>183</v>
      </c>
      <c r="B7" s="11" t="s">
        <v>198</v>
      </c>
    </row>
    <row r="8" customFormat="false" ht="21.75" hidden="false" customHeight="true" outlineLevel="0" collapsed="false">
      <c r="A8" s="10" t="s">
        <v>199</v>
      </c>
      <c r="B8" s="11" t="s">
        <v>200</v>
      </c>
    </row>
    <row r="10" customFormat="false" ht="21.75" hidden="false" customHeight="true" outlineLevel="0" collapsed="false">
      <c r="A10" s="9" t="s">
        <v>5</v>
      </c>
      <c r="B10" s="9"/>
    </row>
    <row r="11" customFormat="false" ht="21.75" hidden="false" customHeight="true" outlineLevel="0" collapsed="false">
      <c r="A11" s="10" t="s">
        <v>19</v>
      </c>
      <c r="B11" s="11" t="s">
        <v>201</v>
      </c>
    </row>
    <row r="12" customFormat="false" ht="21.75" hidden="false" customHeight="true" outlineLevel="0" collapsed="false">
      <c r="A12" s="10" t="s">
        <v>34</v>
      </c>
      <c r="B12" s="11" t="s">
        <v>202</v>
      </c>
    </row>
    <row r="13" customFormat="false" ht="21.75" hidden="false" customHeight="true" outlineLevel="0" collapsed="false">
      <c r="A13" s="10" t="s">
        <v>108</v>
      </c>
      <c r="B13" s="11" t="s">
        <v>203</v>
      </c>
    </row>
    <row r="14" customFormat="false" ht="21.75" hidden="false" customHeight="true" outlineLevel="0" collapsed="false">
      <c r="A14" s="10" t="s">
        <v>150</v>
      </c>
      <c r="B14" s="11" t="s">
        <v>204</v>
      </c>
    </row>
    <row r="16" customFormat="false" ht="21.75" hidden="false" customHeight="true" outlineLevel="0" collapsed="false">
      <c r="A16" s="9" t="s">
        <v>6</v>
      </c>
      <c r="B16" s="9"/>
    </row>
    <row r="17" customFormat="false" ht="21.75" hidden="false" customHeight="true" outlineLevel="0" collapsed="false">
      <c r="A17" s="10" t="s">
        <v>205</v>
      </c>
      <c r="B17" s="11" t="s">
        <v>206</v>
      </c>
    </row>
    <row r="18" customFormat="false" ht="21.75" hidden="false" customHeight="true" outlineLevel="0" collapsed="false">
      <c r="A18" s="10" t="s">
        <v>20</v>
      </c>
      <c r="B18" s="11" t="s">
        <v>207</v>
      </c>
    </row>
    <row r="19" customFormat="false" ht="21.75" hidden="false" customHeight="true" outlineLevel="0" collapsed="false">
      <c r="A19" s="10" t="s">
        <v>26</v>
      </c>
      <c r="B19" s="11" t="s">
        <v>208</v>
      </c>
    </row>
    <row r="20" customFormat="false" ht="21.75" hidden="false" customHeight="true" outlineLevel="0" collapsed="false">
      <c r="A20" s="10" t="s">
        <v>30</v>
      </c>
      <c r="B20" s="11" t="s">
        <v>209</v>
      </c>
    </row>
    <row r="21" customFormat="false" ht="21.75" hidden="false" customHeight="true" outlineLevel="0" collapsed="false">
      <c r="A21" s="10" t="s">
        <v>123</v>
      </c>
      <c r="B21" s="11" t="s">
        <v>210</v>
      </c>
    </row>
    <row r="23" customFormat="false" ht="21.75" hidden="false" customHeight="true" outlineLevel="0" collapsed="false">
      <c r="A23" s="9" t="s">
        <v>3</v>
      </c>
      <c r="B23" s="9"/>
    </row>
    <row r="24" customFormat="false" ht="21.75" hidden="false" customHeight="true" outlineLevel="0" collapsed="false">
      <c r="A24" s="10" t="s">
        <v>17</v>
      </c>
      <c r="B24" s="11" t="s">
        <v>211</v>
      </c>
    </row>
    <row r="25" customFormat="false" ht="21.75" hidden="false" customHeight="true" outlineLevel="0" collapsed="false">
      <c r="A25" s="10" t="s">
        <v>68</v>
      </c>
      <c r="B25" s="11" t="s">
        <v>212</v>
      </c>
    </row>
    <row r="26" customFormat="false" ht="21.75" hidden="false" customHeight="true" outlineLevel="0" collapsed="false">
      <c r="A26" s="10" t="s">
        <v>64</v>
      </c>
      <c r="B26" s="11" t="s">
        <v>213</v>
      </c>
    </row>
    <row r="27" customFormat="false" ht="21.75" hidden="false" customHeight="true" outlineLevel="0" collapsed="false">
      <c r="A27" s="10" t="s">
        <v>75</v>
      </c>
      <c r="B27" s="11" t="s">
        <v>214</v>
      </c>
    </row>
    <row r="28" customFormat="false" ht="21.75" hidden="false" customHeight="true" outlineLevel="0" collapsed="false">
      <c r="A28" s="10" t="s">
        <v>82</v>
      </c>
      <c r="B28" s="11" t="s">
        <v>215</v>
      </c>
    </row>
    <row r="29" customFormat="false" ht="21.75" hidden="false" customHeight="true" outlineLevel="0" collapsed="false">
      <c r="A29" s="10" t="s">
        <v>48</v>
      </c>
      <c r="B29" s="11" t="s">
        <v>216</v>
      </c>
    </row>
    <row r="30" customFormat="false" ht="21.75" hidden="false" customHeight="true" outlineLevel="0" collapsed="false">
      <c r="A30" s="10" t="s">
        <v>182</v>
      </c>
      <c r="B30" s="11" t="s">
        <v>217</v>
      </c>
    </row>
    <row r="32" customFormat="false" ht="21.75" hidden="false" customHeight="true" outlineLevel="0" collapsed="false">
      <c r="A32" s="9" t="s">
        <v>9</v>
      </c>
      <c r="B32" s="9"/>
    </row>
    <row r="33" customFormat="false" ht="21.75" hidden="false" customHeight="true" outlineLevel="0" collapsed="false">
      <c r="A33" s="10" t="s">
        <v>218</v>
      </c>
      <c r="B33" s="11" t="s">
        <v>219</v>
      </c>
    </row>
    <row r="34" customFormat="false" ht="21.75" hidden="false" customHeight="true" outlineLevel="0" collapsed="false">
      <c r="A34" s="10" t="s">
        <v>220</v>
      </c>
      <c r="B34" s="11" t="s">
        <v>221</v>
      </c>
    </row>
  </sheetData>
  <mergeCells count="6">
    <mergeCell ref="A1:B1"/>
    <mergeCell ref="A3:B3"/>
    <mergeCell ref="A10:B10"/>
    <mergeCell ref="A16:B16"/>
    <mergeCell ref="A23:B23"/>
    <mergeCell ref="A32:B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2026-04-30T18:02:15Z</dcterms:created>
  <dc:creator>openpyxl</dc:creator>
  <dc:description/>
  <dc:language>en-US</dc:language>
  <cp:lastModifiedBy/>
  <dcterms:modified xsi:type="dcterms:W3CDTF">2026-04-30T18:02:15Z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